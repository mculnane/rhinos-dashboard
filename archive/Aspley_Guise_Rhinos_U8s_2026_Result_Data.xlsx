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omneagency-my.sharepoint.com/personal/matthew_culnane_omne_agency/Documents/Personal/Fabian/"/>
    </mc:Choice>
  </mc:AlternateContent>
  <xr:revisionPtr revIDLastSave="0" documentId="8_{6F580051-1E09-0C4C-A56D-42C567D4218F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Matches" sheetId="1" r:id="rId1"/>
    <sheet name="Goals" sheetId="2" r:id="rId2"/>
    <sheet name="Player 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H5" i="1"/>
  <c r="H4" i="1"/>
  <c r="H3" i="1"/>
  <c r="H2" i="1"/>
</calcChain>
</file>

<file path=xl/sharedStrings.xml><?xml version="1.0" encoding="utf-8"?>
<sst xmlns="http://schemas.openxmlformats.org/spreadsheetml/2006/main" count="121" uniqueCount="36">
  <si>
    <t>Match ID</t>
  </si>
  <si>
    <t>Date</t>
  </si>
  <si>
    <t>Opponent</t>
  </si>
  <si>
    <t>Home/Away</t>
  </si>
  <si>
    <t>Competition</t>
  </si>
  <si>
    <t>Team Goals</t>
  </si>
  <si>
    <t>Opponent Goals</t>
  </si>
  <si>
    <t>Result</t>
  </si>
  <si>
    <t>Player of the Match</t>
  </si>
  <si>
    <t>M01</t>
  </si>
  <si>
    <t>Great Linford Raptors</t>
  </si>
  <si>
    <t>Away</t>
  </si>
  <si>
    <t>League</t>
  </si>
  <si>
    <t>Fabian</t>
  </si>
  <si>
    <t>M02</t>
  </si>
  <si>
    <t>MK Athletic Rockets</t>
  </si>
  <si>
    <t>Home</t>
  </si>
  <si>
    <t>Kian</t>
  </si>
  <si>
    <t>M03</t>
  </si>
  <si>
    <t>Tattenhoe Youth Jaguars</t>
  </si>
  <si>
    <t>Aydan</t>
  </si>
  <si>
    <t>M04</t>
  </si>
  <si>
    <t>Cranfield Colts</t>
  </si>
  <si>
    <t>Reuben</t>
  </si>
  <si>
    <t>Scorer</t>
  </si>
  <si>
    <t>Assister</t>
  </si>
  <si>
    <t>Own Goal</t>
  </si>
  <si>
    <t>No</t>
  </si>
  <si>
    <t>Lake</t>
  </si>
  <si>
    <t>Darius</t>
  </si>
  <si>
    <t>Siji</t>
  </si>
  <si>
    <t>Yes</t>
  </si>
  <si>
    <t>Player Name</t>
  </si>
  <si>
    <t>Goals</t>
  </si>
  <si>
    <t>Assists</t>
  </si>
  <si>
    <t>POTM 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</si>
</sst>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pane ySplit="1" topLeftCell="A2" activePane="bottomLeft" state="frozen"/>
      <selection pane="bottomLeft" activeCell="I5" sqref="I5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28" customWidth="1"/>
    <col min="4" max="4" width="10" customWidth="1"/>
    <col min="5" max="5" width="12" customWidth="1"/>
    <col min="6" max="6" width="11" customWidth="1"/>
    <col min="7" max="7" width="14" customWidth="1"/>
    <col min="8" max="8" width="8" customWidth="1"/>
    <col min="9" max="9" width="2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s="2">
        <v>46039</v>
      </c>
      <c r="C2" t="s">
        <v>10</v>
      </c>
      <c r="D2" t="s">
        <v>11</v>
      </c>
      <c r="E2" t="s">
        <v>12</v>
      </c>
      <c r="F2">
        <v>9</v>
      </c>
      <c r="G2">
        <v>3</v>
      </c>
      <c r="H2" t="str">
        <f>IF(F2&gt;G2,"W",IF(F2&lt;G2,"L","D"))</f>
        <v>W</v>
      </c>
      <c r="I2" t="s">
        <v>13</v>
      </c>
    </row>
    <row r="3" spans="1:9" x14ac:dyDescent="0.2">
      <c r="A3" t="s">
        <v>14</v>
      </c>
      <c r="B3" s="2">
        <v>46046</v>
      </c>
      <c r="C3" t="s">
        <v>15</v>
      </c>
      <c r="D3" t="s">
        <v>16</v>
      </c>
      <c r="E3" t="s">
        <v>12</v>
      </c>
      <c r="F3">
        <v>12</v>
      </c>
      <c r="G3">
        <v>2</v>
      </c>
      <c r="H3" t="str">
        <f>IF(F3&gt;G3,"W",IF(F3&lt;G3,"L","D"))</f>
        <v>W</v>
      </c>
      <c r="I3" t="s">
        <v>17</v>
      </c>
    </row>
    <row r="4" spans="1:9" x14ac:dyDescent="0.2">
      <c r="A4" t="s">
        <v>18</v>
      </c>
      <c r="B4" s="2">
        <v>46053</v>
      </c>
      <c r="C4" t="s">
        <v>19</v>
      </c>
      <c r="D4" t="s">
        <v>11</v>
      </c>
      <c r="E4" t="s">
        <v>12</v>
      </c>
      <c r="F4">
        <v>4</v>
      </c>
      <c r="G4">
        <v>0</v>
      </c>
      <c r="H4" t="str">
        <f>IF(F4&gt;G4,"W",IF(F4&lt;G4,"L","D"))</f>
        <v>W</v>
      </c>
      <c r="I4" t="s">
        <v>20</v>
      </c>
    </row>
    <row r="5" spans="1:9" x14ac:dyDescent="0.2">
      <c r="A5" t="s">
        <v>21</v>
      </c>
      <c r="B5" s="2">
        <v>46060</v>
      </c>
      <c r="C5" t="s">
        <v>22</v>
      </c>
      <c r="D5" t="s">
        <v>16</v>
      </c>
      <c r="E5" t="s">
        <v>12</v>
      </c>
      <c r="F5">
        <v>0</v>
      </c>
      <c r="G5">
        <v>3</v>
      </c>
      <c r="H5" t="str">
        <f>IF(F5&gt;G5,"W",IF(F5&lt;G5,"L","D"))</f>
        <v>L</v>
      </c>
      <c r="I5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4" width="14" customWidth="1"/>
    <col min="5" max="5" width="10" customWidth="1"/>
  </cols>
  <sheetData>
    <row r="1" spans="1:5" x14ac:dyDescent="0.2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</row>
    <row r="2" spans="1:5" x14ac:dyDescent="0.2">
      <c r="A2" t="s">
        <v>9</v>
      </c>
      <c r="B2" s="2">
        <v>46039</v>
      </c>
      <c r="C2" t="s">
        <v>13</v>
      </c>
      <c r="E2" t="s">
        <v>27</v>
      </c>
    </row>
    <row r="3" spans="1:5" x14ac:dyDescent="0.2">
      <c r="A3" t="s">
        <v>9</v>
      </c>
      <c r="B3" s="2">
        <v>46039</v>
      </c>
      <c r="C3" t="s">
        <v>13</v>
      </c>
      <c r="E3" t="s">
        <v>27</v>
      </c>
    </row>
    <row r="4" spans="1:5" x14ac:dyDescent="0.2">
      <c r="A4" t="s">
        <v>9</v>
      </c>
      <c r="B4" s="2">
        <v>46039</v>
      </c>
      <c r="C4" t="s">
        <v>13</v>
      </c>
      <c r="E4" t="s">
        <v>27</v>
      </c>
    </row>
    <row r="5" spans="1:5" x14ac:dyDescent="0.2">
      <c r="A5" t="s">
        <v>9</v>
      </c>
      <c r="B5" s="2">
        <v>46039</v>
      </c>
      <c r="C5" t="s">
        <v>13</v>
      </c>
      <c r="E5" t="s">
        <v>27</v>
      </c>
    </row>
    <row r="6" spans="1:5" x14ac:dyDescent="0.2">
      <c r="A6" t="s">
        <v>9</v>
      </c>
      <c r="B6" s="2">
        <v>46039</v>
      </c>
      <c r="C6" t="s">
        <v>28</v>
      </c>
      <c r="E6" t="s">
        <v>27</v>
      </c>
    </row>
    <row r="7" spans="1:5" x14ac:dyDescent="0.2">
      <c r="A7" t="s">
        <v>9</v>
      </c>
      <c r="B7" s="2">
        <v>46039</v>
      </c>
      <c r="C7" t="s">
        <v>29</v>
      </c>
      <c r="E7" t="s">
        <v>27</v>
      </c>
    </row>
    <row r="8" spans="1:5" x14ac:dyDescent="0.2">
      <c r="A8" t="s">
        <v>9</v>
      </c>
      <c r="B8" s="2">
        <v>46039</v>
      </c>
      <c r="C8" t="s">
        <v>30</v>
      </c>
      <c r="E8" t="s">
        <v>27</v>
      </c>
    </row>
    <row r="9" spans="1:5" x14ac:dyDescent="0.2">
      <c r="A9" t="s">
        <v>9</v>
      </c>
      <c r="B9" s="2">
        <v>46039</v>
      </c>
      <c r="C9" t="s">
        <v>30</v>
      </c>
      <c r="E9" t="s">
        <v>27</v>
      </c>
    </row>
    <row r="10" spans="1:5" x14ac:dyDescent="0.2">
      <c r="A10" t="s">
        <v>9</v>
      </c>
      <c r="B10" s="2">
        <v>46039</v>
      </c>
      <c r="C10" t="s">
        <v>30</v>
      </c>
      <c r="E10" t="s">
        <v>27</v>
      </c>
    </row>
    <row r="11" spans="1:5" x14ac:dyDescent="0.2">
      <c r="A11" t="s">
        <v>14</v>
      </c>
      <c r="B11" s="2">
        <v>46046</v>
      </c>
      <c r="E11" t="s">
        <v>31</v>
      </c>
    </row>
    <row r="12" spans="1:5" x14ac:dyDescent="0.2">
      <c r="A12" t="s">
        <v>14</v>
      </c>
      <c r="B12" s="2">
        <v>46046</v>
      </c>
      <c r="E12" t="s">
        <v>31</v>
      </c>
    </row>
    <row r="13" spans="1:5" x14ac:dyDescent="0.2">
      <c r="A13" t="s">
        <v>14</v>
      </c>
      <c r="B13" s="2">
        <v>46046</v>
      </c>
      <c r="C13" t="s">
        <v>13</v>
      </c>
      <c r="E13" t="s">
        <v>27</v>
      </c>
    </row>
    <row r="14" spans="1:5" x14ac:dyDescent="0.2">
      <c r="A14" t="s">
        <v>14</v>
      </c>
      <c r="B14" s="2">
        <v>46046</v>
      </c>
      <c r="C14" t="s">
        <v>13</v>
      </c>
      <c r="E14" t="s">
        <v>27</v>
      </c>
    </row>
    <row r="15" spans="1:5" x14ac:dyDescent="0.2">
      <c r="A15" t="s">
        <v>14</v>
      </c>
      <c r="B15" s="2">
        <v>46046</v>
      </c>
      <c r="C15" t="s">
        <v>13</v>
      </c>
      <c r="E15" t="s">
        <v>27</v>
      </c>
    </row>
    <row r="16" spans="1:5" x14ac:dyDescent="0.2">
      <c r="A16" t="s">
        <v>14</v>
      </c>
      <c r="B16" s="2">
        <v>46046</v>
      </c>
      <c r="C16" t="s">
        <v>13</v>
      </c>
      <c r="E16" t="s">
        <v>27</v>
      </c>
    </row>
    <row r="17" spans="1:5" x14ac:dyDescent="0.2">
      <c r="A17" t="s">
        <v>14</v>
      </c>
      <c r="B17" s="2">
        <v>46046</v>
      </c>
      <c r="C17" t="s">
        <v>23</v>
      </c>
      <c r="E17" t="s">
        <v>27</v>
      </c>
    </row>
    <row r="18" spans="1:5" x14ac:dyDescent="0.2">
      <c r="A18" t="s">
        <v>14</v>
      </c>
      <c r="B18" s="2">
        <v>46046</v>
      </c>
      <c r="C18" t="s">
        <v>23</v>
      </c>
      <c r="E18" t="s">
        <v>27</v>
      </c>
    </row>
    <row r="19" spans="1:5" x14ac:dyDescent="0.2">
      <c r="A19" t="s">
        <v>14</v>
      </c>
      <c r="B19" s="2">
        <v>46046</v>
      </c>
      <c r="C19" t="s">
        <v>28</v>
      </c>
      <c r="E19" t="s">
        <v>27</v>
      </c>
    </row>
    <row r="20" spans="1:5" x14ac:dyDescent="0.2">
      <c r="A20" t="s">
        <v>14</v>
      </c>
      <c r="B20" s="2">
        <v>46046</v>
      </c>
      <c r="C20" t="s">
        <v>28</v>
      </c>
      <c r="E20" t="s">
        <v>27</v>
      </c>
    </row>
    <row r="21" spans="1:5" x14ac:dyDescent="0.2">
      <c r="A21" t="s">
        <v>14</v>
      </c>
      <c r="B21" s="2">
        <v>46046</v>
      </c>
      <c r="C21" t="s">
        <v>17</v>
      </c>
      <c r="E21" t="s">
        <v>27</v>
      </c>
    </row>
    <row r="22" spans="1:5" x14ac:dyDescent="0.2">
      <c r="A22" t="s">
        <v>14</v>
      </c>
      <c r="B22" s="2">
        <v>46046</v>
      </c>
      <c r="C22" t="s">
        <v>29</v>
      </c>
      <c r="E22" t="s">
        <v>27</v>
      </c>
    </row>
    <row r="23" spans="1:5" x14ac:dyDescent="0.2">
      <c r="A23" t="s">
        <v>18</v>
      </c>
      <c r="B23" s="2">
        <v>46053</v>
      </c>
      <c r="C23" t="s">
        <v>17</v>
      </c>
      <c r="D23" t="s">
        <v>28</v>
      </c>
      <c r="E23" t="s">
        <v>27</v>
      </c>
    </row>
    <row r="24" spans="1:5" x14ac:dyDescent="0.2">
      <c r="A24" t="s">
        <v>18</v>
      </c>
      <c r="B24" s="2">
        <v>46053</v>
      </c>
      <c r="C24" t="s">
        <v>17</v>
      </c>
      <c r="D24" t="s">
        <v>20</v>
      </c>
      <c r="E24" t="s">
        <v>27</v>
      </c>
    </row>
    <row r="25" spans="1:5" x14ac:dyDescent="0.2">
      <c r="A25" t="s">
        <v>18</v>
      </c>
      <c r="B25" s="2">
        <v>46053</v>
      </c>
      <c r="C25" t="s">
        <v>30</v>
      </c>
      <c r="D25" t="s">
        <v>20</v>
      </c>
      <c r="E25" t="s">
        <v>27</v>
      </c>
    </row>
    <row r="26" spans="1:5" x14ac:dyDescent="0.2">
      <c r="A26" t="s">
        <v>18</v>
      </c>
      <c r="B26" s="2">
        <v>46053</v>
      </c>
      <c r="C26" t="s">
        <v>29</v>
      </c>
      <c r="E26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6" customWidth="1"/>
    <col min="2" max="3" width="10" customWidth="1"/>
    <col min="4" max="4" width="14" customWidth="1"/>
  </cols>
  <sheetData>
    <row r="1" spans="1:4" x14ac:dyDescent="0.2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2">
      <c r="A2" t="s">
        <v>13</v>
      </c>
      <c r="B2">
        <f>COUNTIFS(Goals!$C:$C, $A2, Goals!$E:$E, "No")</f>
        <v>8</v>
      </c>
      <c r="C2">
        <f>COUNTIFS(Goals!$D:$D, $A2)</f>
        <v>0</v>
      </c>
      <c r="D2">
        <f>COUNTIFS(Matches!$I:$I, $A2)</f>
        <v>1</v>
      </c>
    </row>
    <row r="3" spans="1:4" x14ac:dyDescent="0.2">
      <c r="A3" t="s">
        <v>28</v>
      </c>
      <c r="B3">
        <f>COUNTIFS(Goals!$C:$C, $A3, Goals!$E:$E, "No")</f>
        <v>3</v>
      </c>
      <c r="C3">
        <f>COUNTIFS(Goals!$D:$D, $A3)</f>
        <v>1</v>
      </c>
      <c r="D3">
        <f>COUNTIFS(Matches!$I:$I, $A3)</f>
        <v>0</v>
      </c>
    </row>
    <row r="4" spans="1:4" x14ac:dyDescent="0.2">
      <c r="A4" t="s">
        <v>29</v>
      </c>
      <c r="B4">
        <f>COUNTIFS(Goals!$C:$C, $A4, Goals!$E:$E, "No")</f>
        <v>3</v>
      </c>
      <c r="C4">
        <f>COUNTIFS(Goals!$D:$D, $A4)</f>
        <v>0</v>
      </c>
      <c r="D4">
        <f>COUNTIFS(Matches!$I:$I, $A4)</f>
        <v>0</v>
      </c>
    </row>
    <row r="5" spans="1:4" x14ac:dyDescent="0.2">
      <c r="A5" t="s">
        <v>30</v>
      </c>
      <c r="B5">
        <f>COUNTIFS(Goals!$C:$C, $A5, Goals!$E:$E, "No")</f>
        <v>4</v>
      </c>
      <c r="C5">
        <f>COUNTIFS(Goals!$D:$D, $A5)</f>
        <v>0</v>
      </c>
      <c r="D5">
        <f>COUNTIFS(Matches!$I:$I, $A5)</f>
        <v>0</v>
      </c>
    </row>
    <row r="6" spans="1:4" x14ac:dyDescent="0.2">
      <c r="A6" t="s">
        <v>23</v>
      </c>
      <c r="B6">
        <f>COUNTIFS(Goals!$C:$C, $A6, Goals!$E:$E, "No")</f>
        <v>2</v>
      </c>
      <c r="C6">
        <f>COUNTIFS(Goals!$D:$D, $A6)</f>
        <v>0</v>
      </c>
      <c r="D6">
        <f>COUNTIFS(Matches!$I:$I, $A6)</f>
        <v>1</v>
      </c>
    </row>
    <row r="7" spans="1:4" x14ac:dyDescent="0.2">
      <c r="A7" t="s">
        <v>17</v>
      </c>
      <c r="B7">
        <f>COUNTIFS(Goals!$C:$C, $A7, Goals!$E:$E, "No")</f>
        <v>3</v>
      </c>
      <c r="C7">
        <f>COUNTIFS(Goals!$D:$D, $A7)</f>
        <v>0</v>
      </c>
      <c r="D7">
        <f>COUNTIFS(Matches!$I:$I, $A7)</f>
        <v>1</v>
      </c>
    </row>
    <row r="8" spans="1:4" x14ac:dyDescent="0.2">
      <c r="A8" t="s">
        <v>20</v>
      </c>
      <c r="B8">
        <f>COUNTIFS(Goals!$C:$C, $A8, Goals!$E:$E, "No")</f>
        <v>0</v>
      </c>
      <c r="C8">
        <f>COUNTIFS(Goals!$D:$D, $A8)</f>
        <v>2</v>
      </c>
      <c r="D8">
        <f>COUNTIFS(Matches!$I:$I, $A8)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Goals</vt:lpstr>
      <vt:lpstr>Player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Culnane</cp:lastModifiedBy>
  <dcterms:created xsi:type="dcterms:W3CDTF">2026-02-09T08:43:06Z</dcterms:created>
  <dcterms:modified xsi:type="dcterms:W3CDTF">2026-02-09T09:35:19Z</dcterms:modified>
</cp:coreProperties>
</file>