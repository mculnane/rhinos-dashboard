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omneagency-my.sharepoint.com/personal/matthew_culnane_omne_agency/Documents/Personal/Fabian/U8 Rhinos season data/"/>
    </mc:Choice>
  </mc:AlternateContent>
  <xr:revisionPtr revIDLastSave="1" documentId="11_2644BB44172C0F11BE36D17F8056FA90218548CF" xr6:coauthVersionLast="47" xr6:coauthVersionMax="47" xr10:uidLastSave="{2843D4E6-E134-2C4C-A93A-52928438FDD7}"/>
  <bookViews>
    <workbookView xWindow="0" yWindow="660" windowWidth="25680" windowHeight="16800" tabRatio="500" activeTab="1" xr2:uid="{00000000-000D-0000-FFFF-FFFF00000000}"/>
  </bookViews>
  <sheets>
    <sheet name="Data Entry" sheetId="1" r:id="rId1"/>
    <sheet name="Dashboard" sheetId="2" r:id="rId2"/>
    <sheet name="Matches" sheetId="3" r:id="rId3"/>
    <sheet name="Goals" sheetId="4" r:id="rId4"/>
    <sheet name="PlayerStats" sheetId="5" r:id="rId5"/>
    <sheet name="Appearanc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6" l="1"/>
  <c r="F8" i="6"/>
  <c r="F7" i="6"/>
  <c r="F6" i="6"/>
  <c r="F5" i="6"/>
  <c r="F4" i="6"/>
  <c r="G4" i="5" s="1"/>
  <c r="F3" i="6"/>
  <c r="F2" i="6"/>
  <c r="G9" i="5"/>
  <c r="D9" i="5"/>
  <c r="K9" i="5" s="1"/>
  <c r="C9" i="5"/>
  <c r="B9" i="5"/>
  <c r="H9" i="5" s="1"/>
  <c r="G8" i="5"/>
  <c r="F8" i="5" s="1"/>
  <c r="D8" i="5"/>
  <c r="C8" i="5"/>
  <c r="I8" i="5" s="1"/>
  <c r="B8" i="5"/>
  <c r="E8" i="5" s="1"/>
  <c r="G7" i="5"/>
  <c r="D7" i="5"/>
  <c r="C7" i="5"/>
  <c r="I7" i="5" s="1"/>
  <c r="B7" i="5"/>
  <c r="H7" i="5" s="1"/>
  <c r="G6" i="5"/>
  <c r="L6" i="5" s="1"/>
  <c r="D6" i="5"/>
  <c r="C6" i="5"/>
  <c r="I6" i="5" s="1"/>
  <c r="B6" i="5"/>
  <c r="H6" i="5" s="1"/>
  <c r="G5" i="5"/>
  <c r="D5" i="5"/>
  <c r="C5" i="5"/>
  <c r="I5" i="5" s="1"/>
  <c r="B5" i="5"/>
  <c r="F5" i="5" s="1"/>
  <c r="K4" i="5"/>
  <c r="D4" i="5"/>
  <c r="C4" i="5"/>
  <c r="I4" i="5" s="1"/>
  <c r="B4" i="5"/>
  <c r="G3" i="5"/>
  <c r="D3" i="5"/>
  <c r="C3" i="5"/>
  <c r="B3" i="5"/>
  <c r="E3" i="5" s="1"/>
  <c r="K2" i="5"/>
  <c r="I2" i="5"/>
  <c r="G2" i="5"/>
  <c r="B17" i="2" s="1"/>
  <c r="D2" i="5"/>
  <c r="B21" i="2" s="1"/>
  <c r="C2" i="5"/>
  <c r="C19" i="2" s="1"/>
  <c r="B2" i="5"/>
  <c r="H2" i="5" s="1"/>
  <c r="J5" i="3"/>
  <c r="J4" i="3"/>
  <c r="J3" i="3"/>
  <c r="J2" i="3"/>
  <c r="C21" i="2"/>
  <c r="B11" i="2"/>
  <c r="B10" i="2"/>
  <c r="B12" i="2" s="1"/>
  <c r="I7" i="2"/>
  <c r="H7" i="2"/>
  <c r="B7" i="2"/>
  <c r="B6" i="2"/>
  <c r="I6" i="2" s="1"/>
  <c r="B5" i="2"/>
  <c r="I5" i="2" s="1"/>
  <c r="B4" i="2"/>
  <c r="B13" i="2" s="1"/>
  <c r="A27" i="2" s="1"/>
  <c r="F4" i="5" l="1"/>
  <c r="L2" i="5"/>
  <c r="C17" i="2"/>
  <c r="L4" i="5"/>
  <c r="L9" i="5"/>
  <c r="F6" i="5"/>
  <c r="K7" i="5"/>
  <c r="H8" i="5"/>
  <c r="E9" i="5"/>
  <c r="L7" i="5"/>
  <c r="F9" i="5"/>
  <c r="L5" i="5"/>
  <c r="F7" i="5"/>
  <c r="K8" i="5"/>
  <c r="L8" i="5"/>
  <c r="I9" i="5"/>
  <c r="F3" i="5"/>
  <c r="H5" i="5"/>
  <c r="E6" i="5"/>
  <c r="B18" i="2"/>
  <c r="A26" i="2" s="1"/>
  <c r="A25" i="2"/>
  <c r="H5" i="2"/>
  <c r="B8" i="2"/>
  <c r="C18" i="2"/>
  <c r="H3" i="5"/>
  <c r="E4" i="5"/>
  <c r="B19" i="2"/>
  <c r="I3" i="5"/>
  <c r="K5" i="5"/>
  <c r="E7" i="5"/>
  <c r="J7" i="5" s="1"/>
  <c r="E2" i="5"/>
  <c r="J8" i="5" s="1"/>
  <c r="H6" i="2"/>
  <c r="F2" i="5"/>
  <c r="K3" i="5"/>
  <c r="H4" i="5"/>
  <c r="E5" i="5"/>
  <c r="L3" i="5"/>
  <c r="K6" i="5"/>
  <c r="J5" i="5" l="1"/>
  <c r="J4" i="5"/>
  <c r="J6" i="5"/>
  <c r="J9" i="5"/>
  <c r="C20" i="2"/>
  <c r="B20" i="2"/>
  <c r="A28" i="2" s="1"/>
  <c r="J2" i="5"/>
  <c r="J3" i="5"/>
</calcChain>
</file>

<file path=xl/sharedStrings.xml><?xml version="1.0" encoding="utf-8"?>
<sst xmlns="http://schemas.openxmlformats.org/spreadsheetml/2006/main" count="221" uniqueCount="83">
  <si>
    <t>QUICK MATCH DATA ENTRY</t>
  </si>
  <si>
    <t>Instructions: Fill in the yellow cells below, then copy data to the appropriate sheets (Matches, Goals, Appearances)</t>
  </si>
  <si>
    <t>1. MATCH DETAILS</t>
  </si>
  <si>
    <t>Match ID:</t>
  </si>
  <si>
    <t>(e.g., M05)</t>
  </si>
  <si>
    <t>Date:</t>
  </si>
  <si>
    <t>(YYYY-MM-DD)</t>
  </si>
  <si>
    <t>Opponent:</t>
  </si>
  <si>
    <t>Home/Away:</t>
  </si>
  <si>
    <t>Competition:</t>
  </si>
  <si>
    <t>League</t>
  </si>
  <si>
    <t>Team Goals:</t>
  </si>
  <si>
    <t>Opponent Goals:</t>
  </si>
  <si>
    <t>Player of the Match:</t>
  </si>
  <si>
    <t>2. GOALS SCORED (Add one row per goal)</t>
  </si>
  <si>
    <t>Scorer</t>
  </si>
  <si>
    <t>Assister</t>
  </si>
  <si>
    <t>Own Goal</t>
  </si>
  <si>
    <t>No</t>
  </si>
  <si>
    <t>3. PLAYING SQUAD (Enter 1 for played, 0 for did not play)</t>
  </si>
  <si>
    <t>Player</t>
  </si>
  <si>
    <t>Played? (1/0)</t>
  </si>
  <si>
    <t>Fabian</t>
  </si>
  <si>
    <t>Lake</t>
  </si>
  <si>
    <t>Darius</t>
  </si>
  <si>
    <t>Siji</t>
  </si>
  <si>
    <t>Reuben</t>
  </si>
  <si>
    <t>Kian</t>
  </si>
  <si>
    <t>Aydan</t>
  </si>
  <si>
    <t>Leo</t>
  </si>
  <si>
    <t>After filling in the form, copy the data to: Matches sheet (match details), Goals sheet (goals), Appearances sheet (squad)</t>
  </si>
  <si>
    <t>ASPLEY GUISE RHINOS U8s - SEASON 2025/26</t>
  </si>
  <si>
    <t>SEASON SUMMARY</t>
  </si>
  <si>
    <t>Matches Played</t>
  </si>
  <si>
    <t>Wins</t>
  </si>
  <si>
    <t>Draws</t>
  </si>
  <si>
    <t>Losses</t>
  </si>
  <si>
    <t>Win Rate</t>
  </si>
  <si>
    <t>Total Goals Scored</t>
  </si>
  <si>
    <t>Total Goals Conceded</t>
  </si>
  <si>
    <t>Goal Difference</t>
  </si>
  <si>
    <t>Goals per Match</t>
  </si>
  <si>
    <t>SEASON STATS</t>
  </si>
  <si>
    <t>Most Appearances</t>
  </si>
  <si>
    <t>Top Scorer</t>
  </si>
  <si>
    <t>Most Assists</t>
  </si>
  <si>
    <t>Most Goal Involvements</t>
  </si>
  <si>
    <t>Most POTM Awards</t>
  </si>
  <si>
    <t>THE STORY SO FAR</t>
  </si>
  <si>
    <t>Goals</t>
  </si>
  <si>
    <t>Match ID</t>
  </si>
  <si>
    <t>Date</t>
  </si>
  <si>
    <t>Opponent</t>
  </si>
  <si>
    <t>Home/Away</t>
  </si>
  <si>
    <t>Competition</t>
  </si>
  <si>
    <t>Team Goals</t>
  </si>
  <si>
    <t>Opponent Goals</t>
  </si>
  <si>
    <t>Result</t>
  </si>
  <si>
    <t>Player of the Match</t>
  </si>
  <si>
    <t>M01</t>
  </si>
  <si>
    <t>Great Linford Raptors</t>
  </si>
  <si>
    <t>Away</t>
  </si>
  <si>
    <t>W</t>
  </si>
  <si>
    <t>M02</t>
  </si>
  <si>
    <t>MK Athletic Rockets</t>
  </si>
  <si>
    <t>Home</t>
  </si>
  <si>
    <t>M03</t>
  </si>
  <si>
    <t>Tattenhoe Youth Jaguars</t>
  </si>
  <si>
    <t>M04</t>
  </si>
  <si>
    <t>Cranfield Colts</t>
  </si>
  <si>
    <t>L</t>
  </si>
  <si>
    <t>Yes</t>
  </si>
  <si>
    <t>Player Name</t>
  </si>
  <si>
    <t>Assists</t>
  </si>
  <si>
    <t>POTM Awards</t>
  </si>
  <si>
    <t>Goal Involvements</t>
  </si>
  <si>
    <t>Appearances</t>
  </si>
  <si>
    <t>Is Top Scorer</t>
  </si>
  <si>
    <t>Is Top Assister</t>
  </si>
  <si>
    <t>Is Top Involvement</t>
  </si>
  <si>
    <t>Is Top POTM</t>
  </si>
  <si>
    <t>Is Most Apps</t>
  </si>
  <si>
    <t>Total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</si>
</sst>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name val="Cambria"/>
      <family val="1"/>
      <charset val="1"/>
    </font>
    <font>
      <b/>
      <sz val="12"/>
      <color rgb="FFDC3545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808080"/>
      <name val="Cambria"/>
      <family val="1"/>
      <charset val="1"/>
    </font>
    <font>
      <b/>
      <sz val="10"/>
      <name val="Cambria"/>
      <family val="1"/>
      <charset val="1"/>
    </font>
    <font>
      <b/>
      <sz val="12"/>
      <color rgb="FF4472C4"/>
      <name val="Cambria"/>
      <family val="1"/>
      <charset val="1"/>
    </font>
    <font>
      <sz val="10"/>
      <name val="Cambria"/>
      <family val="1"/>
      <charset val="1"/>
    </font>
    <font>
      <i/>
      <sz val="9"/>
      <color rgb="FF4472C4"/>
      <name val="Cambria"/>
      <family val="1"/>
      <charset val="1"/>
    </font>
    <font>
      <b/>
      <sz val="18"/>
      <color rgb="FFDC3545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DC3545"/>
      <name val="Arial"/>
      <family val="2"/>
      <charset val="1"/>
    </font>
    <font>
      <b/>
      <sz val="11"/>
      <name val="Arial"/>
      <family val="2"/>
      <charset val="1"/>
    </font>
    <font>
      <b/>
      <sz val="12"/>
      <color rgb="FFDC3545"/>
      <name val="Arial"/>
      <family val="2"/>
    </font>
    <font>
      <sz val="10"/>
      <name val="Arial"/>
      <family val="2"/>
    </font>
    <font>
      <b/>
      <i/>
      <sz val="10"/>
      <color rgb="FFDC3545"/>
      <name val="Arial"/>
      <family val="2"/>
      <charset val="1"/>
    </font>
    <font>
      <i/>
      <sz val="9"/>
      <name val="Arial"/>
      <family val="2"/>
      <charset val="1"/>
    </font>
    <font>
      <b/>
      <sz val="11"/>
      <color rgb="FFFFFF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C3545"/>
        <bgColor rgb="FFC82333"/>
      </patternFill>
    </fill>
    <fill>
      <patternFill patternType="solid">
        <fgColor rgb="FFFFF8F0"/>
        <bgColor rgb="FFF8F9FA"/>
      </patternFill>
    </fill>
    <fill>
      <patternFill patternType="solid">
        <fgColor rgb="FFFFF2CC"/>
        <bgColor rgb="FFFFF8F0"/>
      </patternFill>
    </fill>
    <fill>
      <patternFill patternType="solid">
        <fgColor rgb="FFD9E1F2"/>
        <bgColor rgb="FFE7E6E6"/>
      </patternFill>
    </fill>
    <fill>
      <patternFill patternType="solid">
        <fgColor rgb="FFC82333"/>
        <bgColor rgb="FFDC3545"/>
      </patternFill>
    </fill>
    <fill>
      <patternFill patternType="solid">
        <fgColor rgb="FFF8F9FA"/>
        <bgColor rgb="FFFFF8F0"/>
      </patternFill>
    </fill>
    <fill>
      <patternFill patternType="solid">
        <fgColor rgb="FFE7E6E6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6" fillId="0" borderId="0" xfId="0" applyFont="1" applyAlignment="1">
      <alignment horizontal="center"/>
    </xf>
    <xf numFmtId="0" fontId="15" fillId="0" borderId="0" xfId="0" applyFont="1" applyAlignment="1">
      <alignment vertical="top" wrapText="1"/>
    </xf>
    <xf numFmtId="0" fontId="14" fillId="5" borderId="0" xfId="0" applyFont="1" applyFill="1"/>
    <xf numFmtId="0" fontId="11" fillId="6" borderId="0" xfId="0" applyFont="1" applyFill="1"/>
    <xf numFmtId="0" fontId="10" fillId="0" borderId="0" xfId="0" applyFont="1"/>
    <xf numFmtId="0" fontId="9" fillId="3" borderId="0" xfId="0" applyFont="1" applyFill="1"/>
    <xf numFmtId="0" fontId="7" fillId="0" borderId="0" xfId="0" applyFont="1"/>
    <xf numFmtId="0" fontId="3" fillId="0" borderId="0" xfId="0" applyFont="1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4" borderId="0" xfId="0" applyFill="1"/>
    <xf numFmtId="0" fontId="5" fillId="0" borderId="0" xfId="0" applyFont="1"/>
    <xf numFmtId="164" fontId="0" fillId="4" borderId="0" xfId="0" applyNumberFormat="1" applyFill="1"/>
    <xf numFmtId="0" fontId="6" fillId="5" borderId="1" xfId="0" applyFont="1" applyFill="1" applyBorder="1" applyAlignment="1">
      <alignment horizontal="center"/>
    </xf>
    <xf numFmtId="0" fontId="0" fillId="4" borderId="1" xfId="0" applyFill="1" applyBorder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8" fillId="0" borderId="0" xfId="0" applyFont="1"/>
    <xf numFmtId="0" fontId="0" fillId="7" borderId="2" xfId="0" applyFill="1" applyBorder="1" applyAlignment="1">
      <alignment horizontal="right" vertical="center"/>
    </xf>
    <xf numFmtId="165" fontId="12" fillId="7" borderId="2" xfId="0" applyNumberFormat="1" applyFont="1" applyFill="1" applyBorder="1" applyAlignment="1">
      <alignment horizontal="right" vertical="center"/>
    </xf>
    <xf numFmtId="166" fontId="0" fillId="7" borderId="2" xfId="0" applyNumberFormat="1" applyFill="1" applyBorder="1" applyAlignment="1">
      <alignment horizontal="right" vertical="center"/>
    </xf>
    <xf numFmtId="0" fontId="4" fillId="3" borderId="0" xfId="0" applyFont="1" applyFill="1"/>
    <xf numFmtId="0" fontId="0" fillId="0" borderId="0" xfId="0" applyAlignment="1">
      <alignment horizontal="left" vertical="center"/>
    </xf>
    <xf numFmtId="1" fontId="13" fillId="7" borderId="2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/>
    </xf>
    <xf numFmtId="0" fontId="0" fillId="8" borderId="0" xfId="0" applyFill="1"/>
    <xf numFmtId="0" fontId="18" fillId="2" borderId="0" xfId="0" applyFont="1" applyFill="1"/>
    <xf numFmtId="2" fontId="0" fillId="8" borderId="0" xfId="0" applyNumberFormat="1" applyFill="1"/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E7E6E6"/>
      <rgbColor rgb="FFFFF8F0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C82333"/>
      <rgbColor rgb="FFDC3545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Match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78F-8249-B4B5-B1F9FD8FAB5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8F-8249-B4B5-B1F9FD8FAB5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8F-8249-B4B5-B1F9FD8FAB5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78F-8249-B4B5-B1F9FD8FAB5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78F-8249-B4B5-B1F9FD8FAB5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78F-8249-B4B5-B1F9FD8FA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Dashboard!$H$5:$H$7</c:f>
              <c:strCache>
                <c:ptCount val="3"/>
                <c:pt idx="0">
                  <c:v>3 wins</c:v>
                </c:pt>
                <c:pt idx="1">
                  <c:v>0 draws</c:v>
                </c:pt>
                <c:pt idx="2">
                  <c:v>1 loss</c:v>
                </c:pt>
              </c:strCache>
            </c:strRef>
          </c:cat>
          <c:val>
            <c:numRef>
              <c:f>Dashboard!$I$5:$I$7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8F-8249-B4B5-B1F9FD8FA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Goals by Player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Dashboard!$G$28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Dashboard!$F$29:$F$36</c:f>
              <c:strCache>
                <c:ptCount val="8"/>
                <c:pt idx="0">
                  <c:v>Fabian</c:v>
                </c:pt>
                <c:pt idx="1">
                  <c:v>Siji</c:v>
                </c:pt>
                <c:pt idx="2">
                  <c:v>Lake</c:v>
                </c:pt>
                <c:pt idx="3">
                  <c:v>Darius</c:v>
                </c:pt>
                <c:pt idx="4">
                  <c:v>Kian</c:v>
                </c:pt>
                <c:pt idx="5">
                  <c:v>Reuben</c:v>
                </c:pt>
                <c:pt idx="6">
                  <c:v>Aydan</c:v>
                </c:pt>
                <c:pt idx="7">
                  <c:v>Leo</c:v>
                </c:pt>
              </c:strCache>
            </c:strRef>
          </c:cat>
          <c:val>
            <c:numRef>
              <c:f>Dashboard!$G$29:$G$36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E-154F-8A6A-272F39D8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74763"/>
        <c:axId val="48558167"/>
      </c:barChart>
      <c:catAx>
        <c:axId val="605747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558167"/>
        <c:crosses val="autoZero"/>
        <c:auto val="1"/>
        <c:lblAlgn val="ctr"/>
        <c:lblOffset val="100"/>
        <c:noMultiLvlLbl val="0"/>
      </c:catAx>
      <c:valAx>
        <c:axId val="485581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Goals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05747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9</xdr:col>
      <xdr:colOff>459000</xdr:colOff>
      <xdr:row>17</xdr:row>
      <xdr:rowOff>88920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0</xdr:rowOff>
    </xdr:from>
    <xdr:to>
      <xdr:col>12</xdr:col>
      <xdr:colOff>426240</xdr:colOff>
      <xdr:row>36</xdr:row>
      <xdr:rowOff>18360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opLeftCell="A7" zoomScaleNormal="100" workbookViewId="0"/>
  </sheetViews>
  <sheetFormatPr baseColWidth="10" defaultColWidth="8.6640625" defaultRowHeight="15" customHeight="1" x14ac:dyDescent="0.2"/>
  <cols>
    <col min="1" max="1" width="20" customWidth="1"/>
    <col min="2" max="2" width="25" customWidth="1"/>
    <col min="3" max="4" width="15" customWidth="1"/>
  </cols>
  <sheetData>
    <row r="1" spans="1:4" ht="24.75" customHeight="1" x14ac:dyDescent="0.2">
      <c r="A1" s="10" t="s">
        <v>0</v>
      </c>
      <c r="B1" s="10"/>
      <c r="C1" s="10"/>
      <c r="D1" s="10"/>
    </row>
    <row r="3" spans="1:4" ht="15" customHeight="1" x14ac:dyDescent="0.2">
      <c r="A3" s="9" t="s">
        <v>1</v>
      </c>
      <c r="B3" s="9"/>
      <c r="C3" s="9"/>
      <c r="D3" s="9"/>
    </row>
    <row r="5" spans="1:4" ht="15.75" customHeight="1" x14ac:dyDescent="0.2">
      <c r="A5" s="8" t="s">
        <v>2</v>
      </c>
      <c r="B5" s="8"/>
      <c r="C5" s="8"/>
      <c r="D5" s="8"/>
    </row>
    <row r="6" spans="1:4" ht="15" customHeight="1" x14ac:dyDescent="0.2">
      <c r="A6" s="12" t="s">
        <v>3</v>
      </c>
      <c r="B6" s="13"/>
      <c r="C6" s="14" t="s">
        <v>4</v>
      </c>
    </row>
    <row r="7" spans="1:4" ht="15" customHeight="1" x14ac:dyDescent="0.2">
      <c r="A7" s="12" t="s">
        <v>5</v>
      </c>
      <c r="B7" s="15"/>
      <c r="C7" s="14" t="s">
        <v>6</v>
      </c>
    </row>
    <row r="8" spans="1:4" ht="15" customHeight="1" x14ac:dyDescent="0.2">
      <c r="A8" s="12" t="s">
        <v>7</v>
      </c>
      <c r="B8" s="13"/>
    </row>
    <row r="9" spans="1:4" ht="15" customHeight="1" x14ac:dyDescent="0.2">
      <c r="A9" s="12" t="s">
        <v>8</v>
      </c>
      <c r="B9" s="13"/>
    </row>
    <row r="10" spans="1:4" ht="15" customHeight="1" x14ac:dyDescent="0.2">
      <c r="A10" s="12" t="s">
        <v>9</v>
      </c>
      <c r="B10" s="13" t="s">
        <v>10</v>
      </c>
    </row>
    <row r="11" spans="1:4" ht="15" customHeight="1" x14ac:dyDescent="0.2">
      <c r="A11" s="12" t="s">
        <v>11</v>
      </c>
      <c r="B11" s="13"/>
    </row>
    <row r="12" spans="1:4" ht="15" customHeight="1" x14ac:dyDescent="0.2">
      <c r="A12" s="12" t="s">
        <v>12</v>
      </c>
      <c r="B12" s="13"/>
    </row>
    <row r="13" spans="1:4" ht="15" customHeight="1" x14ac:dyDescent="0.2">
      <c r="A13" s="12" t="s">
        <v>13</v>
      </c>
      <c r="B13" s="13"/>
    </row>
    <row r="15" spans="1:4" ht="15.75" customHeight="1" x14ac:dyDescent="0.2">
      <c r="A15" s="8" t="s">
        <v>14</v>
      </c>
      <c r="B15" s="8"/>
      <c r="C15" s="8"/>
      <c r="D15" s="8"/>
    </row>
    <row r="16" spans="1:4" ht="15" customHeight="1" x14ac:dyDescent="0.2">
      <c r="A16" s="16" t="s">
        <v>15</v>
      </c>
      <c r="B16" s="16" t="s">
        <v>16</v>
      </c>
      <c r="C16" s="16" t="s">
        <v>17</v>
      </c>
    </row>
    <row r="17" spans="1:4" ht="15" customHeight="1" x14ac:dyDescent="0.2">
      <c r="A17" s="17"/>
      <c r="B17" s="17"/>
      <c r="C17" s="17" t="s">
        <v>18</v>
      </c>
    </row>
    <row r="18" spans="1:4" ht="15" customHeight="1" x14ac:dyDescent="0.2">
      <c r="A18" s="17"/>
      <c r="B18" s="17"/>
      <c r="C18" s="17" t="s">
        <v>18</v>
      </c>
    </row>
    <row r="19" spans="1:4" ht="15" customHeight="1" x14ac:dyDescent="0.2">
      <c r="A19" s="17"/>
      <c r="B19" s="17"/>
      <c r="C19" s="17" t="s">
        <v>18</v>
      </c>
    </row>
    <row r="20" spans="1:4" ht="15" customHeight="1" x14ac:dyDescent="0.2">
      <c r="A20" s="17"/>
      <c r="B20" s="17"/>
      <c r="C20" s="17" t="s">
        <v>18</v>
      </c>
    </row>
    <row r="21" spans="1:4" ht="15" customHeight="1" x14ac:dyDescent="0.2">
      <c r="A21" s="17"/>
      <c r="B21" s="17"/>
      <c r="C21" s="17" t="s">
        <v>18</v>
      </c>
    </row>
    <row r="22" spans="1:4" ht="15" customHeight="1" x14ac:dyDescent="0.2">
      <c r="A22" s="17"/>
      <c r="B22" s="17"/>
      <c r="C22" s="17" t="s">
        <v>18</v>
      </c>
    </row>
    <row r="23" spans="1:4" ht="15" customHeight="1" x14ac:dyDescent="0.2">
      <c r="A23" s="17"/>
      <c r="B23" s="17"/>
      <c r="C23" s="17" t="s">
        <v>18</v>
      </c>
    </row>
    <row r="24" spans="1:4" ht="15" customHeight="1" x14ac:dyDescent="0.2">
      <c r="A24" s="17"/>
      <c r="B24" s="17"/>
      <c r="C24" s="17" t="s">
        <v>18</v>
      </c>
    </row>
    <row r="25" spans="1:4" ht="15" customHeight="1" x14ac:dyDescent="0.2">
      <c r="A25" s="17"/>
      <c r="B25" s="17"/>
      <c r="C25" s="17" t="s">
        <v>18</v>
      </c>
    </row>
    <row r="26" spans="1:4" ht="15" customHeight="1" x14ac:dyDescent="0.2">
      <c r="A26" s="17"/>
      <c r="B26" s="17"/>
      <c r="C26" s="17" t="s">
        <v>18</v>
      </c>
    </row>
    <row r="28" spans="1:4" ht="15.75" customHeight="1" x14ac:dyDescent="0.2">
      <c r="A28" s="7" t="s">
        <v>19</v>
      </c>
      <c r="B28" s="7"/>
      <c r="C28" s="7"/>
      <c r="D28" s="7"/>
    </row>
    <row r="29" spans="1:4" ht="15" customHeight="1" x14ac:dyDescent="0.2">
      <c r="A29" s="18" t="s">
        <v>20</v>
      </c>
      <c r="B29" s="19" t="s">
        <v>21</v>
      </c>
    </row>
    <row r="30" spans="1:4" ht="15.75" customHeight="1" x14ac:dyDescent="0.2">
      <c r="A30" s="11" t="s">
        <v>22</v>
      </c>
      <c r="B30" s="20"/>
    </row>
    <row r="31" spans="1:4" ht="15" customHeight="1" x14ac:dyDescent="0.2">
      <c r="A31" s="21" t="s">
        <v>23</v>
      </c>
      <c r="B31" s="20"/>
    </row>
    <row r="32" spans="1:4" ht="15" customHeight="1" x14ac:dyDescent="0.2">
      <c r="A32" s="21" t="s">
        <v>24</v>
      </c>
      <c r="B32" s="20"/>
    </row>
    <row r="33" spans="1:4" ht="15" customHeight="1" x14ac:dyDescent="0.2">
      <c r="A33" s="21" t="s">
        <v>25</v>
      </c>
      <c r="B33" s="20"/>
    </row>
    <row r="34" spans="1:4" ht="15" customHeight="1" x14ac:dyDescent="0.2">
      <c r="A34" s="21" t="s">
        <v>26</v>
      </c>
      <c r="B34" s="20"/>
    </row>
    <row r="35" spans="1:4" ht="15" customHeight="1" x14ac:dyDescent="0.2">
      <c r="A35" s="21" t="s">
        <v>27</v>
      </c>
      <c r="B35" s="20"/>
    </row>
    <row r="36" spans="1:4" ht="15" customHeight="1" x14ac:dyDescent="0.2">
      <c r="A36" s="21" t="s">
        <v>28</v>
      </c>
      <c r="B36" s="20"/>
    </row>
    <row r="37" spans="1:4" ht="15" customHeight="1" x14ac:dyDescent="0.2">
      <c r="A37" s="21" t="s">
        <v>29</v>
      </c>
      <c r="B37" s="20"/>
    </row>
    <row r="39" spans="1:4" ht="15" customHeight="1" x14ac:dyDescent="0.2">
      <c r="A39" s="6" t="s">
        <v>30</v>
      </c>
      <c r="B39" s="6"/>
      <c r="C39" s="6"/>
      <c r="D39" s="6"/>
    </row>
  </sheetData>
  <mergeCells count="6">
    <mergeCell ref="A39:D39"/>
    <mergeCell ref="A1:D1"/>
    <mergeCell ref="A3:D3"/>
    <mergeCell ref="A5:D5"/>
    <mergeCell ref="A15:D15"/>
    <mergeCell ref="A28:D28"/>
  </mergeCells>
  <dataValidations count="2">
    <dataValidation type="list" sqref="B9" xr:uid="{00000000-0002-0000-0000-000000000000}">
      <formula1>"Home,Away"</formula1>
      <formula2>0</formula2>
    </dataValidation>
    <dataValidation type="list" sqref="C17:C26" xr:uid="{00000000-0002-0000-00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abSelected="1" zoomScaleNormal="100" workbookViewId="0">
      <selection activeCell="C55" sqref="C55"/>
    </sheetView>
  </sheetViews>
  <sheetFormatPr baseColWidth="10" defaultColWidth="8.6640625" defaultRowHeight="15" customHeight="1" x14ac:dyDescent="0.2"/>
  <cols>
    <col min="1" max="1" width="25" customWidth="1"/>
    <col min="2" max="2" width="27.1640625" bestFit="1" customWidth="1"/>
    <col min="3" max="4" width="25" customWidth="1"/>
    <col min="6" max="6" width="15" customWidth="1"/>
  </cols>
  <sheetData>
    <row r="1" spans="1:9" ht="39.75" customHeight="1" x14ac:dyDescent="0.25">
      <c r="A1" s="5" t="s">
        <v>31</v>
      </c>
      <c r="B1" s="5"/>
      <c r="C1" s="5"/>
      <c r="D1" s="5"/>
    </row>
    <row r="3" spans="1:9" ht="24.75" customHeight="1" x14ac:dyDescent="0.2">
      <c r="A3" s="4" t="s">
        <v>32</v>
      </c>
      <c r="B3" s="4"/>
      <c r="C3" s="4"/>
      <c r="D3" s="4"/>
    </row>
    <row r="4" spans="1:9" ht="15" customHeight="1" x14ac:dyDescent="0.2">
      <c r="A4" s="12" t="s">
        <v>33</v>
      </c>
      <c r="B4" s="22">
        <f>COUNTA(Matches!A:A)-1</f>
        <v>4</v>
      </c>
    </row>
    <row r="5" spans="1:9" ht="15" customHeight="1" x14ac:dyDescent="0.2">
      <c r="A5" s="12" t="s">
        <v>34</v>
      </c>
      <c r="B5" s="22">
        <f>COUNTIF(Matches!H:H,"W")</f>
        <v>3</v>
      </c>
      <c r="H5" t="str">
        <f>B5&amp;IF(B5=1," win"," wins")</f>
        <v>3 wins</v>
      </c>
      <c r="I5">
        <f>B5</f>
        <v>3</v>
      </c>
    </row>
    <row r="6" spans="1:9" ht="15" customHeight="1" x14ac:dyDescent="0.2">
      <c r="A6" s="12" t="s">
        <v>35</v>
      </c>
      <c r="B6" s="22">
        <f>COUNTIF(Matches!H:H,"D")</f>
        <v>0</v>
      </c>
      <c r="H6" t="str">
        <f>B6&amp;IF(B6=1," draw"," draws")</f>
        <v>0 draws</v>
      </c>
      <c r="I6">
        <f>B6</f>
        <v>0</v>
      </c>
    </row>
    <row r="7" spans="1:9" ht="15" customHeight="1" x14ac:dyDescent="0.2">
      <c r="A7" s="12" t="s">
        <v>36</v>
      </c>
      <c r="B7" s="22">
        <f>COUNTIF(Matches!H:H,"L")</f>
        <v>1</v>
      </c>
      <c r="H7" t="str">
        <f>B7&amp;IF(B7=1," loss"," losses")</f>
        <v>1 loss</v>
      </c>
      <c r="I7">
        <f>B7</f>
        <v>1</v>
      </c>
    </row>
    <row r="8" spans="1:9" ht="15" customHeight="1" x14ac:dyDescent="0.2">
      <c r="A8" s="12" t="s">
        <v>37</v>
      </c>
      <c r="B8" s="23">
        <f>IF(B4&gt;0,B5/B4,0)</f>
        <v>0.75</v>
      </c>
    </row>
    <row r="10" spans="1:9" ht="15" customHeight="1" x14ac:dyDescent="0.2">
      <c r="A10" s="12" t="s">
        <v>38</v>
      </c>
      <c r="B10" s="22">
        <f>SUM(Matches!F2:F1000)</f>
        <v>25</v>
      </c>
    </row>
    <row r="11" spans="1:9" ht="15" customHeight="1" x14ac:dyDescent="0.2">
      <c r="A11" s="12" t="s">
        <v>39</v>
      </c>
      <c r="B11" s="22">
        <f>SUM(Matches!G2:G1000)</f>
        <v>8</v>
      </c>
    </row>
    <row r="12" spans="1:9" ht="15" customHeight="1" x14ac:dyDescent="0.2">
      <c r="A12" s="12" t="s">
        <v>40</v>
      </c>
      <c r="B12" s="22">
        <f>B10-B11</f>
        <v>17</v>
      </c>
    </row>
    <row r="13" spans="1:9" ht="15" customHeight="1" x14ac:dyDescent="0.2">
      <c r="A13" s="12" t="s">
        <v>41</v>
      </c>
      <c r="B13" s="24">
        <f>IF(B4&gt;0,B10/B4,0)</f>
        <v>6.25</v>
      </c>
    </row>
    <row r="16" spans="1:9" ht="24.75" customHeight="1" x14ac:dyDescent="0.2">
      <c r="A16" s="4" t="s">
        <v>42</v>
      </c>
      <c r="B16" s="4"/>
      <c r="C16" s="4"/>
      <c r="D16" s="4"/>
    </row>
    <row r="17" spans="1:7" ht="15" customHeight="1" x14ac:dyDescent="0.2">
      <c r="A17" s="25" t="s">
        <v>43</v>
      </c>
      <c r="B17" s="26" t="str">
        <f>LEFT(CONCATENATE(IF(PlayerStats!G2=MAX(PlayerStats!$G:$G),PlayerStats!A2&amp;", ",""),IF(PlayerStats!G3=MAX(PlayerStats!$G:$G),PlayerStats!A3&amp;", ",""),IF(PlayerStats!G4=MAX(PlayerStats!$G:$G),PlayerStats!A4&amp;", ",""),IF(PlayerStats!G5=MAX(PlayerStats!$G:$G),PlayerStats!A5&amp;", ",""),IF(PlayerStats!G6=MAX(PlayerStats!$G:$G),PlayerStats!A6&amp;", ",""),IF(PlayerStats!G7=MAX(PlayerStats!$G:$G),PlayerStats!A7&amp;", ",""),IF(PlayerStats!G8=MAX(PlayerStats!$G:$G),PlayerStats!A8&amp;", ",""),IF(PlayerStats!G9=MAX(PlayerStats!$G:$G),PlayerStats!A9&amp;", ","")),LEN(CONCATENATE(IF(PlayerStats!G2=MAX(PlayerStats!$G:$G),PlayerStats!A2&amp;", ",""),IF(PlayerStats!G3=MAX(PlayerStats!$G:$G),PlayerStats!A3&amp;", ",""),IF(PlayerStats!G4=MAX(PlayerStats!$G:$G),PlayerStats!A4&amp;", ",""),IF(PlayerStats!G5=MAX(PlayerStats!$G:$G),PlayerStats!A5&amp;", ",""),IF(PlayerStats!G6=MAX(PlayerStats!$G:$G),PlayerStats!A6&amp;", ",""),IF(PlayerStats!G7=MAX(PlayerStats!$G:$G),PlayerStats!A7&amp;", ",""),IF(PlayerStats!G8=MAX(PlayerStats!$G:$G),PlayerStats!A8&amp;", ",""),IF(PlayerStats!G9=MAX(PlayerStats!$G:$G),PlayerStats!A9&amp;", ","")))-2)</f>
        <v>Fabian, Lake, Darius, Reuben, Kian</v>
      </c>
      <c r="C17" s="27">
        <f>MAX(PlayerStats!G:G)</f>
        <v>4</v>
      </c>
    </row>
    <row r="18" spans="1:7" ht="15" customHeight="1" x14ac:dyDescent="0.2">
      <c r="A18" s="25" t="s">
        <v>44</v>
      </c>
      <c r="B18" s="26" t="str">
        <f>LEFT(CONCATENATE(IF(PlayerStats!B2=MAX(PlayerStats!$B:$B),PlayerStats!A2&amp;", ",""),IF(PlayerStats!B3=MAX(PlayerStats!$B:$B),PlayerStats!A3&amp;", ",""),IF(PlayerStats!B4=MAX(PlayerStats!$B:$B),PlayerStats!A4&amp;", ",""),IF(PlayerStats!B5=MAX(PlayerStats!$B:$B),PlayerStats!A5&amp;", ",""),IF(PlayerStats!B6=MAX(PlayerStats!$B:$B),PlayerStats!A6&amp;", ",""),IF(PlayerStats!B7=MAX(PlayerStats!$B:$B),PlayerStats!A7&amp;", ",""),IF(PlayerStats!B8=MAX(PlayerStats!$B:$B),PlayerStats!A8&amp;", ",""),IF(PlayerStats!B9=MAX(PlayerStats!$B:$B),PlayerStats!A9&amp;", ","")),LEN(CONCATENATE(IF(PlayerStats!B2=MAX(PlayerStats!$B:$B),PlayerStats!A2&amp;", ",""),IF(PlayerStats!B3=MAX(PlayerStats!$B:$B),PlayerStats!A3&amp;", ",""),IF(PlayerStats!B4=MAX(PlayerStats!$B:$B),PlayerStats!A4&amp;", ",""),IF(PlayerStats!B5=MAX(PlayerStats!$B:$B),PlayerStats!A5&amp;", ",""),IF(PlayerStats!B6=MAX(PlayerStats!$B:$B),PlayerStats!A6&amp;", ",""),IF(PlayerStats!B7=MAX(PlayerStats!$B:$B),PlayerStats!A7&amp;", ",""),IF(PlayerStats!B8=MAX(PlayerStats!$B:$B),PlayerStats!A8&amp;", ",""),IF(PlayerStats!B9=MAX(PlayerStats!$B:$B),PlayerStats!A9&amp;", ","")))-2)</f>
        <v>Fabian</v>
      </c>
      <c r="C18" s="27">
        <f>MAX(PlayerStats!B:B)</f>
        <v>8</v>
      </c>
    </row>
    <row r="19" spans="1:7" ht="15" customHeight="1" x14ac:dyDescent="0.2">
      <c r="A19" s="25" t="s">
        <v>45</v>
      </c>
      <c r="B19" s="26" t="str">
        <f>LEFT(CONCATENATE(IF(PlayerStats!C2=MAX(PlayerStats!$C:$C),PlayerStats!A2&amp;", ",""),IF(PlayerStats!C3=MAX(PlayerStats!$C:$C),PlayerStats!A3&amp;", ",""),IF(PlayerStats!C4=MAX(PlayerStats!$C:$C),PlayerStats!A4&amp;", ",""),IF(PlayerStats!C5=MAX(PlayerStats!$C:$C),PlayerStats!A5&amp;", ",""),IF(PlayerStats!C6=MAX(PlayerStats!$C:$C),PlayerStats!A6&amp;", ",""),IF(PlayerStats!C7=MAX(PlayerStats!$C:$C),PlayerStats!A7&amp;", ",""),IF(PlayerStats!C8=MAX(PlayerStats!$C:$C),PlayerStats!A8&amp;", ",""),IF(PlayerStats!C9=MAX(PlayerStats!$C:$C),PlayerStats!A9&amp;", ","")),LEN(CONCATENATE(IF(PlayerStats!C2=MAX(PlayerStats!$C:$C),PlayerStats!A2&amp;", ",""),IF(PlayerStats!C3=MAX(PlayerStats!$C:$C),PlayerStats!A3&amp;", ",""),IF(PlayerStats!C4=MAX(PlayerStats!$C:$C),PlayerStats!A4&amp;", ",""),IF(PlayerStats!C5=MAX(PlayerStats!$C:$C),PlayerStats!A5&amp;", ",""),IF(PlayerStats!C6=MAX(PlayerStats!$C:$C),PlayerStats!A6&amp;", ",""),IF(PlayerStats!C7=MAX(PlayerStats!$C:$C),PlayerStats!A7&amp;", ",""),IF(PlayerStats!C8=MAX(PlayerStats!$C:$C),PlayerStats!A8&amp;", ",""),IF(PlayerStats!C9=MAX(PlayerStats!$C:$C),PlayerStats!A9&amp;", ","")))-2)</f>
        <v>Aydan</v>
      </c>
      <c r="C19" s="27">
        <f>MAX(PlayerStats!C:C)</f>
        <v>2</v>
      </c>
    </row>
    <row r="20" spans="1:7" ht="15" customHeight="1" x14ac:dyDescent="0.2">
      <c r="A20" s="25" t="s">
        <v>46</v>
      </c>
      <c r="B20" s="26" t="str">
        <f>LEFT(CONCATENATE(IF(PlayerStats!E2=MAX(PlayerStats!$E:$E),PlayerStats!A2&amp;", ",""),IF(PlayerStats!E3=MAX(PlayerStats!$E:$E),PlayerStats!A3&amp;", ",""),IF(PlayerStats!E4=MAX(PlayerStats!$E:$E),PlayerStats!A4&amp;", ",""),IF(PlayerStats!E5=MAX(PlayerStats!$E:$E),PlayerStats!A5&amp;", ",""),IF(PlayerStats!E6=MAX(PlayerStats!$E:$E),PlayerStats!A6&amp;", ",""),IF(PlayerStats!E7=MAX(PlayerStats!$E:$E),PlayerStats!A7&amp;", ",""),IF(PlayerStats!E8=MAX(PlayerStats!$E:$E),PlayerStats!A8&amp;", ",""),IF(PlayerStats!E9=MAX(PlayerStats!$E:$E),PlayerStats!A9&amp;", ","")),LEN(CONCATENATE(IF(PlayerStats!E2=MAX(PlayerStats!$E:$E),PlayerStats!A2&amp;", ",""),IF(PlayerStats!E3=MAX(PlayerStats!$E:$E),PlayerStats!A3&amp;", ",""),IF(PlayerStats!E4=MAX(PlayerStats!$E:$E),PlayerStats!A4&amp;", ",""),IF(PlayerStats!E5=MAX(PlayerStats!$E:$E),PlayerStats!A5&amp;", ",""),IF(PlayerStats!E6=MAX(PlayerStats!$E:$E),PlayerStats!A6&amp;", ",""),IF(PlayerStats!E7=MAX(PlayerStats!$E:$E),PlayerStats!A7&amp;", ",""),IF(PlayerStats!E8=MAX(PlayerStats!$E:$E),PlayerStats!A8&amp;", ",""),IF(PlayerStats!E9=MAX(PlayerStats!$E:$E),PlayerStats!A9&amp;", ","")))-2)</f>
        <v>Fabian</v>
      </c>
      <c r="C20" s="27">
        <f>MAX(PlayerStats!E:E)</f>
        <v>8</v>
      </c>
    </row>
    <row r="21" spans="1:7" ht="15" customHeight="1" x14ac:dyDescent="0.2">
      <c r="A21" s="25" t="s">
        <v>47</v>
      </c>
      <c r="B21" s="26" t="str">
        <f>LEFT(CONCATENATE(IF(PlayerStats!D2=MAX(PlayerStats!$D:$D),PlayerStats!A2&amp;", ",""),IF(PlayerStats!D3=MAX(PlayerStats!$D:$D),PlayerStats!A3&amp;", ",""),IF(PlayerStats!D4=MAX(PlayerStats!$D:$D),PlayerStats!A4&amp;", ",""),IF(PlayerStats!D5=MAX(PlayerStats!$D:$D),PlayerStats!A5&amp;", ",""),IF(PlayerStats!D6=MAX(PlayerStats!$D:$D),PlayerStats!A6&amp;", ",""),IF(PlayerStats!D7=MAX(PlayerStats!$D:$D),PlayerStats!A7&amp;", ",""),IF(PlayerStats!D8=MAX(PlayerStats!$D:$D),PlayerStats!A8&amp;", ",""),IF(PlayerStats!D9=MAX(PlayerStats!$D:$D),PlayerStats!A9&amp;", ","")),LEN(CONCATENATE(IF(PlayerStats!D2=MAX(PlayerStats!$D:$D),PlayerStats!A2&amp;", ",""),IF(PlayerStats!D3=MAX(PlayerStats!$D:$D),PlayerStats!A3&amp;", ",""),IF(PlayerStats!D4=MAX(PlayerStats!$D:$D),PlayerStats!A4&amp;", ",""),IF(PlayerStats!D5=MAX(PlayerStats!$D:$D),PlayerStats!A5&amp;", ",""),IF(PlayerStats!D6=MAX(PlayerStats!$D:$D),PlayerStats!A6&amp;", ",""),IF(PlayerStats!D7=MAX(PlayerStats!$D:$D),PlayerStats!A7&amp;", ",""),IF(PlayerStats!D8=MAX(PlayerStats!$D:$D),PlayerStats!A8&amp;", ",""),IF(PlayerStats!D9=MAX(PlayerStats!$D:$D),PlayerStats!A9&amp;", ","")))-2)</f>
        <v>Fabian, Reuben, Kian, Aydan</v>
      </c>
      <c r="C21" s="27">
        <f>MAX(PlayerStats!D:D)</f>
        <v>1</v>
      </c>
    </row>
    <row r="24" spans="1:7" ht="15" customHeight="1" x14ac:dyDescent="0.2">
      <c r="A24" s="3" t="s">
        <v>48</v>
      </c>
      <c r="B24" s="3"/>
      <c r="C24" s="3"/>
      <c r="D24" s="3"/>
    </row>
    <row r="25" spans="1:7" ht="18" customHeight="1" x14ac:dyDescent="0.2">
      <c r="A25" s="2" t="str">
        <f>CONCATENATE("The Rhinos have played ",B4," matches this season, winning ",B5," and losing ",B7,", giving them a ",TEXT(B8,"0%")," win rate.")</f>
        <v>The Rhinos have played 4 matches this season, winning 3 and losing 1, giving them a 75% win rate.</v>
      </c>
      <c r="B25" s="2"/>
      <c r="C25" s="2"/>
      <c r="D25" s="2"/>
      <c r="F25" t="s">
        <v>20</v>
      </c>
      <c r="G25" t="s">
        <v>49</v>
      </c>
    </row>
    <row r="26" spans="1:7" ht="18" customHeight="1" x14ac:dyDescent="0.2">
      <c r="A26" s="2" t="str">
        <f>CONCATENATE("The team has scored ",B10," goals while conceding ",B11,", with ",B18," leading the scoring charts with ",C18," goals.")</f>
        <v>The team has scored 25 goals while conceding 8, with Fabian leading the scoring charts with 8 goals.</v>
      </c>
      <c r="B26" s="2"/>
      <c r="C26" s="2"/>
      <c r="D26" s="2"/>
      <c r="F26" t="s">
        <v>22</v>
      </c>
      <c r="G26">
        <v>8</v>
      </c>
    </row>
    <row r="27" spans="1:7" ht="18" customHeight="1" x14ac:dyDescent="0.2">
      <c r="A27" s="2" t="str">
        <f>CONCATENATE("Averaging ",TEXT(B13,"0.0")," goals per match, the Rhinos have a goal difference of ",IF(B12&gt;0,"+",""),B12,".")</f>
        <v>Averaging 6.3 goals per match, the Rhinos have a goal difference of +17.</v>
      </c>
      <c r="B27" s="2"/>
      <c r="C27" s="2"/>
      <c r="D27" s="2"/>
      <c r="F27" t="s">
        <v>25</v>
      </c>
      <c r="G27">
        <v>4</v>
      </c>
    </row>
    <row r="28" spans="1:7" ht="18" customHeight="1" x14ac:dyDescent="0.2">
      <c r="A28" s="2" t="str">
        <f>CONCATENATE(B19," has been the creative force with ",C19," assists, while ",B20," leads goal involvements with ",C20,".")</f>
        <v>Aydan has been the creative force with 2 assists, while Fabian leads goal involvements with 8.</v>
      </c>
      <c r="B28" s="2"/>
      <c r="C28" s="2"/>
      <c r="D28" s="2"/>
      <c r="F28" t="s">
        <v>20</v>
      </c>
      <c r="G28" t="s">
        <v>49</v>
      </c>
    </row>
    <row r="29" spans="1:7" ht="15" customHeight="1" x14ac:dyDescent="0.2">
      <c r="F29" t="s">
        <v>22</v>
      </c>
      <c r="G29">
        <v>8</v>
      </c>
    </row>
    <row r="30" spans="1:7" ht="15" customHeight="1" x14ac:dyDescent="0.2">
      <c r="F30" t="s">
        <v>25</v>
      </c>
      <c r="G30">
        <v>4</v>
      </c>
    </row>
    <row r="31" spans="1:7" ht="15" customHeight="1" x14ac:dyDescent="0.2">
      <c r="F31" t="s">
        <v>23</v>
      </c>
      <c r="G31">
        <v>3</v>
      </c>
    </row>
    <row r="32" spans="1:7" ht="15" customHeight="1" x14ac:dyDescent="0.2">
      <c r="F32" t="s">
        <v>24</v>
      </c>
      <c r="G32">
        <v>3</v>
      </c>
    </row>
    <row r="33" spans="1:7" ht="15" customHeight="1" x14ac:dyDescent="0.2">
      <c r="F33" t="s">
        <v>27</v>
      </c>
      <c r="G33">
        <v>3</v>
      </c>
    </row>
    <row r="34" spans="1:7" ht="15" customHeight="1" x14ac:dyDescent="0.2">
      <c r="F34" t="s">
        <v>26</v>
      </c>
      <c r="G34">
        <v>2</v>
      </c>
    </row>
    <row r="35" spans="1:7" ht="15" customHeight="1" x14ac:dyDescent="0.2">
      <c r="F35" t="s">
        <v>28</v>
      </c>
      <c r="G35">
        <v>0</v>
      </c>
    </row>
    <row r="36" spans="1:7" ht="15" customHeight="1" x14ac:dyDescent="0.2">
      <c r="F36" t="s">
        <v>29</v>
      </c>
      <c r="G36">
        <v>0</v>
      </c>
    </row>
    <row r="45" spans="1:7" ht="15" customHeight="1" x14ac:dyDescent="0.2">
      <c r="A45" s="1"/>
      <c r="B45" s="1"/>
      <c r="C45" s="1"/>
      <c r="D45" s="1"/>
    </row>
    <row r="46" spans="1:7" ht="15" customHeight="1" x14ac:dyDescent="0.2">
      <c r="A46" s="28"/>
    </row>
  </sheetData>
  <mergeCells count="9">
    <mergeCell ref="A26:D26"/>
    <mergeCell ref="A27:D27"/>
    <mergeCell ref="A28:D28"/>
    <mergeCell ref="A45:D45"/>
    <mergeCell ref="A1:D1"/>
    <mergeCell ref="A3:D3"/>
    <mergeCell ref="A16:D16"/>
    <mergeCell ref="A24:D24"/>
    <mergeCell ref="A25:D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Normal="100" workbookViewId="0">
      <selection activeCell="J5" sqref="J5"/>
    </sheetView>
  </sheetViews>
  <sheetFormatPr baseColWidth="10" defaultColWidth="8.6640625" defaultRowHeight="15" customHeight="1" x14ac:dyDescent="0.2"/>
  <cols>
    <col min="1" max="1" width="10" customWidth="1"/>
    <col min="2" max="2" width="12" customWidth="1"/>
    <col min="3" max="3" width="25" customWidth="1"/>
    <col min="4" max="4" width="12" customWidth="1"/>
    <col min="5" max="5" width="15" customWidth="1"/>
    <col min="6" max="6" width="12" customWidth="1"/>
    <col min="7" max="7" width="14" customWidth="1"/>
    <col min="8" max="8" width="8" customWidth="1"/>
    <col min="9" max="9" width="20" customWidth="1"/>
    <col min="10" max="10" width="14" customWidth="1"/>
  </cols>
  <sheetData>
    <row r="1" spans="1:10" ht="15" customHeight="1" x14ac:dyDescent="0.2">
      <c r="A1" s="29" t="s">
        <v>50</v>
      </c>
      <c r="B1" s="29" t="s">
        <v>51</v>
      </c>
      <c r="C1" s="29" t="s">
        <v>52</v>
      </c>
      <c r="D1" s="29" t="s">
        <v>53</v>
      </c>
      <c r="E1" s="29" t="s">
        <v>54</v>
      </c>
      <c r="F1" s="29" t="s">
        <v>55</v>
      </c>
      <c r="G1" s="29" t="s">
        <v>56</v>
      </c>
      <c r="H1" s="29" t="s">
        <v>57</v>
      </c>
      <c r="I1" s="29" t="s">
        <v>58</v>
      </c>
      <c r="J1" s="29" t="s">
        <v>40</v>
      </c>
    </row>
    <row r="2" spans="1:10" ht="15" customHeight="1" x14ac:dyDescent="0.2">
      <c r="A2" s="13" t="s">
        <v>59</v>
      </c>
      <c r="B2" s="15">
        <v>46039</v>
      </c>
      <c r="C2" s="13" t="s">
        <v>60</v>
      </c>
      <c r="D2" s="13" t="s">
        <v>61</v>
      </c>
      <c r="E2" s="13" t="s">
        <v>10</v>
      </c>
      <c r="F2" s="13">
        <v>9</v>
      </c>
      <c r="G2" s="13">
        <v>3</v>
      </c>
      <c r="H2" s="30" t="s">
        <v>62</v>
      </c>
      <c r="I2" s="13" t="s">
        <v>22</v>
      </c>
      <c r="J2" s="30">
        <f>F2-G2</f>
        <v>6</v>
      </c>
    </row>
    <row r="3" spans="1:10" ht="15" customHeight="1" x14ac:dyDescent="0.2">
      <c r="A3" s="13" t="s">
        <v>63</v>
      </c>
      <c r="B3" s="15">
        <v>46046</v>
      </c>
      <c r="C3" s="13" t="s">
        <v>64</v>
      </c>
      <c r="D3" s="13" t="s">
        <v>65</v>
      </c>
      <c r="E3" s="13" t="s">
        <v>10</v>
      </c>
      <c r="F3" s="13">
        <v>12</v>
      </c>
      <c r="G3" s="13">
        <v>2</v>
      </c>
      <c r="H3" s="30" t="s">
        <v>62</v>
      </c>
      <c r="I3" s="13" t="s">
        <v>27</v>
      </c>
      <c r="J3" s="30">
        <f>F3-G3</f>
        <v>10</v>
      </c>
    </row>
    <row r="4" spans="1:10" ht="15" customHeight="1" x14ac:dyDescent="0.2">
      <c r="A4" s="13" t="s">
        <v>66</v>
      </c>
      <c r="B4" s="15">
        <v>46053</v>
      </c>
      <c r="C4" s="13" t="s">
        <v>67</v>
      </c>
      <c r="D4" s="13" t="s">
        <v>61</v>
      </c>
      <c r="E4" s="13" t="s">
        <v>10</v>
      </c>
      <c r="F4" s="13">
        <v>4</v>
      </c>
      <c r="G4" s="13">
        <v>0</v>
      </c>
      <c r="H4" s="30" t="s">
        <v>62</v>
      </c>
      <c r="I4" s="13" t="s">
        <v>28</v>
      </c>
      <c r="J4" s="30">
        <f>F4-G4</f>
        <v>4</v>
      </c>
    </row>
    <row r="5" spans="1:10" ht="15" customHeight="1" x14ac:dyDescent="0.2">
      <c r="A5" s="13" t="s">
        <v>68</v>
      </c>
      <c r="B5" s="15">
        <v>46060</v>
      </c>
      <c r="C5" s="13" t="s">
        <v>69</v>
      </c>
      <c r="D5" s="13" t="s">
        <v>65</v>
      </c>
      <c r="E5" s="13" t="s">
        <v>10</v>
      </c>
      <c r="F5" s="13">
        <v>0</v>
      </c>
      <c r="G5" s="13">
        <v>3</v>
      </c>
      <c r="H5" s="30" t="s">
        <v>70</v>
      </c>
      <c r="I5" s="13" t="s">
        <v>26</v>
      </c>
      <c r="J5" s="30">
        <f>F5-G5</f>
        <v>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zoomScaleNormal="100" workbookViewId="0"/>
  </sheetViews>
  <sheetFormatPr baseColWidth="10" defaultColWidth="8.6640625" defaultRowHeight="15" customHeight="1" x14ac:dyDescent="0.2"/>
  <cols>
    <col min="1" max="1" width="10" customWidth="1"/>
    <col min="2" max="2" width="12" customWidth="1"/>
    <col min="3" max="4" width="20" customWidth="1"/>
    <col min="5" max="5" width="10" customWidth="1"/>
  </cols>
  <sheetData>
    <row r="1" spans="1:5" ht="15" customHeight="1" x14ac:dyDescent="0.2">
      <c r="A1" s="29" t="s">
        <v>50</v>
      </c>
      <c r="B1" s="29" t="s">
        <v>51</v>
      </c>
      <c r="C1" s="29" t="s">
        <v>15</v>
      </c>
      <c r="D1" s="29" t="s">
        <v>16</v>
      </c>
      <c r="E1" s="29" t="s">
        <v>17</v>
      </c>
    </row>
    <row r="2" spans="1:5" ht="15" customHeight="1" x14ac:dyDescent="0.2">
      <c r="A2" s="13" t="s">
        <v>59</v>
      </c>
      <c r="B2" s="15">
        <v>46039</v>
      </c>
      <c r="C2" s="13" t="s">
        <v>22</v>
      </c>
      <c r="D2" s="13"/>
      <c r="E2" s="13" t="s">
        <v>18</v>
      </c>
    </row>
    <row r="3" spans="1:5" ht="15" customHeight="1" x14ac:dyDescent="0.2">
      <c r="A3" s="13" t="s">
        <v>59</v>
      </c>
      <c r="B3" s="15">
        <v>46039</v>
      </c>
      <c r="C3" s="13" t="s">
        <v>22</v>
      </c>
      <c r="D3" s="13"/>
      <c r="E3" s="13" t="s">
        <v>18</v>
      </c>
    </row>
    <row r="4" spans="1:5" ht="15" customHeight="1" x14ac:dyDescent="0.2">
      <c r="A4" s="13" t="s">
        <v>59</v>
      </c>
      <c r="B4" s="15">
        <v>46039</v>
      </c>
      <c r="C4" s="13" t="s">
        <v>22</v>
      </c>
      <c r="D4" s="13"/>
      <c r="E4" s="13" t="s">
        <v>18</v>
      </c>
    </row>
    <row r="5" spans="1:5" ht="15" customHeight="1" x14ac:dyDescent="0.2">
      <c r="A5" s="13" t="s">
        <v>59</v>
      </c>
      <c r="B5" s="15">
        <v>46039</v>
      </c>
      <c r="C5" s="13" t="s">
        <v>22</v>
      </c>
      <c r="D5" s="13"/>
      <c r="E5" s="13" t="s">
        <v>18</v>
      </c>
    </row>
    <row r="6" spans="1:5" ht="15" customHeight="1" x14ac:dyDescent="0.2">
      <c r="A6" s="13" t="s">
        <v>59</v>
      </c>
      <c r="B6" s="15">
        <v>46039</v>
      </c>
      <c r="C6" s="13" t="s">
        <v>23</v>
      </c>
      <c r="D6" s="13"/>
      <c r="E6" s="13" t="s">
        <v>18</v>
      </c>
    </row>
    <row r="7" spans="1:5" ht="15" customHeight="1" x14ac:dyDescent="0.2">
      <c r="A7" s="13" t="s">
        <v>59</v>
      </c>
      <c r="B7" s="15">
        <v>46039</v>
      </c>
      <c r="C7" s="13" t="s">
        <v>24</v>
      </c>
      <c r="D7" s="13"/>
      <c r="E7" s="13" t="s">
        <v>18</v>
      </c>
    </row>
    <row r="8" spans="1:5" ht="15" customHeight="1" x14ac:dyDescent="0.2">
      <c r="A8" s="13" t="s">
        <v>59</v>
      </c>
      <c r="B8" s="15">
        <v>46039</v>
      </c>
      <c r="C8" s="13" t="s">
        <v>25</v>
      </c>
      <c r="D8" s="13"/>
      <c r="E8" s="13" t="s">
        <v>18</v>
      </c>
    </row>
    <row r="9" spans="1:5" ht="15" customHeight="1" x14ac:dyDescent="0.2">
      <c r="A9" s="13" t="s">
        <v>59</v>
      </c>
      <c r="B9" s="15">
        <v>46039</v>
      </c>
      <c r="C9" s="13" t="s">
        <v>25</v>
      </c>
      <c r="D9" s="13"/>
      <c r="E9" s="13" t="s">
        <v>18</v>
      </c>
    </row>
    <row r="10" spans="1:5" ht="15" customHeight="1" x14ac:dyDescent="0.2">
      <c r="A10" s="13" t="s">
        <v>59</v>
      </c>
      <c r="B10" s="15">
        <v>46039</v>
      </c>
      <c r="C10" s="13" t="s">
        <v>25</v>
      </c>
      <c r="D10" s="13"/>
      <c r="E10" s="13" t="s">
        <v>18</v>
      </c>
    </row>
    <row r="11" spans="1:5" ht="15" customHeight="1" x14ac:dyDescent="0.2">
      <c r="A11" s="13" t="s">
        <v>63</v>
      </c>
      <c r="B11" s="15">
        <v>46046</v>
      </c>
      <c r="C11" s="13"/>
      <c r="D11" s="13"/>
      <c r="E11" s="13" t="s">
        <v>71</v>
      </c>
    </row>
    <row r="12" spans="1:5" ht="15" customHeight="1" x14ac:dyDescent="0.2">
      <c r="A12" s="13" t="s">
        <v>63</v>
      </c>
      <c r="B12" s="15">
        <v>46046</v>
      </c>
      <c r="C12" s="13"/>
      <c r="D12" s="13"/>
      <c r="E12" s="13" t="s">
        <v>71</v>
      </c>
    </row>
    <row r="13" spans="1:5" ht="15" customHeight="1" x14ac:dyDescent="0.2">
      <c r="A13" s="13" t="s">
        <v>63</v>
      </c>
      <c r="B13" s="15">
        <v>46046</v>
      </c>
      <c r="C13" s="13" t="s">
        <v>22</v>
      </c>
      <c r="D13" s="13"/>
      <c r="E13" s="13" t="s">
        <v>18</v>
      </c>
    </row>
    <row r="14" spans="1:5" ht="15" customHeight="1" x14ac:dyDescent="0.2">
      <c r="A14" s="13" t="s">
        <v>63</v>
      </c>
      <c r="B14" s="15">
        <v>46046</v>
      </c>
      <c r="C14" s="13" t="s">
        <v>22</v>
      </c>
      <c r="D14" s="13"/>
      <c r="E14" s="13" t="s">
        <v>18</v>
      </c>
    </row>
    <row r="15" spans="1:5" ht="15" customHeight="1" x14ac:dyDescent="0.2">
      <c r="A15" s="13" t="s">
        <v>63</v>
      </c>
      <c r="B15" s="15">
        <v>46046</v>
      </c>
      <c r="C15" s="13" t="s">
        <v>22</v>
      </c>
      <c r="D15" s="13"/>
      <c r="E15" s="13" t="s">
        <v>18</v>
      </c>
    </row>
    <row r="16" spans="1:5" ht="15" customHeight="1" x14ac:dyDescent="0.2">
      <c r="A16" s="13" t="s">
        <v>63</v>
      </c>
      <c r="B16" s="15">
        <v>46046</v>
      </c>
      <c r="C16" s="13" t="s">
        <v>22</v>
      </c>
      <c r="D16" s="13"/>
      <c r="E16" s="13" t="s">
        <v>18</v>
      </c>
    </row>
    <row r="17" spans="1:5" ht="15" customHeight="1" x14ac:dyDescent="0.2">
      <c r="A17" s="13" t="s">
        <v>63</v>
      </c>
      <c r="B17" s="15">
        <v>46046</v>
      </c>
      <c r="C17" s="13" t="s">
        <v>26</v>
      </c>
      <c r="D17" s="13"/>
      <c r="E17" s="13" t="s">
        <v>18</v>
      </c>
    </row>
    <row r="18" spans="1:5" ht="15" customHeight="1" x14ac:dyDescent="0.2">
      <c r="A18" s="13" t="s">
        <v>63</v>
      </c>
      <c r="B18" s="15">
        <v>46046</v>
      </c>
      <c r="C18" s="13" t="s">
        <v>26</v>
      </c>
      <c r="D18" s="13"/>
      <c r="E18" s="13" t="s">
        <v>18</v>
      </c>
    </row>
    <row r="19" spans="1:5" ht="15" customHeight="1" x14ac:dyDescent="0.2">
      <c r="A19" s="13" t="s">
        <v>63</v>
      </c>
      <c r="B19" s="15">
        <v>46046</v>
      </c>
      <c r="C19" s="13" t="s">
        <v>23</v>
      </c>
      <c r="D19" s="13"/>
      <c r="E19" s="13" t="s">
        <v>18</v>
      </c>
    </row>
    <row r="20" spans="1:5" ht="15" customHeight="1" x14ac:dyDescent="0.2">
      <c r="A20" s="13" t="s">
        <v>63</v>
      </c>
      <c r="B20" s="15">
        <v>46046</v>
      </c>
      <c r="C20" s="13" t="s">
        <v>23</v>
      </c>
      <c r="D20" s="13"/>
      <c r="E20" s="13" t="s">
        <v>18</v>
      </c>
    </row>
    <row r="21" spans="1:5" ht="15" customHeight="1" x14ac:dyDescent="0.2">
      <c r="A21" s="13" t="s">
        <v>63</v>
      </c>
      <c r="B21" s="15">
        <v>46046</v>
      </c>
      <c r="C21" s="13" t="s">
        <v>27</v>
      </c>
      <c r="D21" s="13"/>
      <c r="E21" s="13" t="s">
        <v>18</v>
      </c>
    </row>
    <row r="22" spans="1:5" ht="15" customHeight="1" x14ac:dyDescent="0.2">
      <c r="A22" s="13" t="s">
        <v>63</v>
      </c>
      <c r="B22" s="15">
        <v>46046</v>
      </c>
      <c r="C22" s="13" t="s">
        <v>24</v>
      </c>
      <c r="D22" s="13"/>
      <c r="E22" s="13" t="s">
        <v>18</v>
      </c>
    </row>
    <row r="23" spans="1:5" ht="15" customHeight="1" x14ac:dyDescent="0.2">
      <c r="A23" s="13" t="s">
        <v>66</v>
      </c>
      <c r="B23" s="15">
        <v>46053</v>
      </c>
      <c r="C23" s="13" t="s">
        <v>27</v>
      </c>
      <c r="D23" s="13" t="s">
        <v>23</v>
      </c>
      <c r="E23" s="13" t="s">
        <v>18</v>
      </c>
    </row>
    <row r="24" spans="1:5" ht="15" customHeight="1" x14ac:dyDescent="0.2">
      <c r="A24" s="13" t="s">
        <v>66</v>
      </c>
      <c r="B24" s="15">
        <v>46053</v>
      </c>
      <c r="C24" s="13" t="s">
        <v>27</v>
      </c>
      <c r="D24" s="13" t="s">
        <v>28</v>
      </c>
      <c r="E24" s="13" t="s">
        <v>18</v>
      </c>
    </row>
    <row r="25" spans="1:5" ht="15" customHeight="1" x14ac:dyDescent="0.2">
      <c r="A25" s="13" t="s">
        <v>66</v>
      </c>
      <c r="B25" s="15">
        <v>46053</v>
      </c>
      <c r="C25" s="13" t="s">
        <v>25</v>
      </c>
      <c r="D25" s="13" t="s">
        <v>28</v>
      </c>
      <c r="E25" s="13" t="s">
        <v>18</v>
      </c>
    </row>
    <row r="26" spans="1:5" ht="15" customHeight="1" x14ac:dyDescent="0.2">
      <c r="A26" s="13" t="s">
        <v>66</v>
      </c>
      <c r="B26" s="15">
        <v>46053</v>
      </c>
      <c r="C26" s="13" t="s">
        <v>24</v>
      </c>
      <c r="D26" s="13"/>
      <c r="E26" s="1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zoomScaleNormal="100" workbookViewId="0"/>
  </sheetViews>
  <sheetFormatPr baseColWidth="10" defaultColWidth="8.6640625" defaultRowHeight="15" customHeight="1" x14ac:dyDescent="0.2"/>
  <cols>
    <col min="1" max="1" width="18" customWidth="1"/>
    <col min="2" max="2" width="8" customWidth="1"/>
    <col min="3" max="3" width="7.6640625" customWidth="1"/>
    <col min="4" max="4" width="13.6640625" customWidth="1"/>
    <col min="5" max="5" width="17.83203125" customWidth="1"/>
    <col min="6" max="6" width="15.5" customWidth="1"/>
    <col min="7" max="7" width="12" customWidth="1"/>
    <col min="8" max="8" width="12.1640625" customWidth="1"/>
    <col min="9" max="9" width="13.33203125" customWidth="1"/>
    <col min="10" max="10" width="17.6640625" customWidth="1"/>
    <col min="11" max="11" width="11.83203125" customWidth="1"/>
  </cols>
  <sheetData>
    <row r="1" spans="1:12" ht="15" customHeight="1" x14ac:dyDescent="0.2">
      <c r="A1" s="29" t="s">
        <v>72</v>
      </c>
      <c r="B1" s="29" t="s">
        <v>49</v>
      </c>
      <c r="C1" s="29" t="s">
        <v>73</v>
      </c>
      <c r="D1" s="29" t="s">
        <v>74</v>
      </c>
      <c r="E1" s="29" t="s">
        <v>75</v>
      </c>
      <c r="F1" s="29" t="s">
        <v>41</v>
      </c>
      <c r="G1" s="29" t="s">
        <v>76</v>
      </c>
      <c r="H1" s="31" t="s">
        <v>77</v>
      </c>
      <c r="I1" s="31" t="s">
        <v>78</v>
      </c>
      <c r="J1" s="31" t="s">
        <v>79</v>
      </c>
      <c r="K1" s="31" t="s">
        <v>80</v>
      </c>
      <c r="L1" s="31" t="s">
        <v>81</v>
      </c>
    </row>
    <row r="2" spans="1:12" ht="15" customHeight="1" x14ac:dyDescent="0.2">
      <c r="A2" s="13" t="s">
        <v>22</v>
      </c>
      <c r="B2" s="30">
        <f>COUNTIFS(Goals!$C:$C,$A2,Goals!$E:$E,"No")</f>
        <v>8</v>
      </c>
      <c r="C2" s="30">
        <f>COUNTIFS(Goals!$D:$D,$A2)</f>
        <v>0</v>
      </c>
      <c r="D2" s="30">
        <f>COUNTIF(Matches!$I:$I,$A2)</f>
        <v>1</v>
      </c>
      <c r="E2" s="30">
        <f t="shared" ref="E2:E9" si="0">B2+C2</f>
        <v>8</v>
      </c>
      <c r="F2" s="32">
        <f t="shared" ref="F2:F9" si="1">IF(G2&gt;0,B2/G2,0)</f>
        <v>2</v>
      </c>
      <c r="G2" s="30">
        <f>IFERROR(VLOOKUP(A2,Appearances!A:F,6,FALSE()),0)</f>
        <v>4</v>
      </c>
      <c r="H2" t="str">
        <f t="shared" ref="H2:H9" si="2">IF(B2=MAX($B$2:$B$100),A2,"")</f>
        <v>Fabian</v>
      </c>
      <c r="I2" t="str">
        <f t="shared" ref="I2:I9" si="3">IF(C2=MAX($C$2:$C$100),A2,"")</f>
        <v/>
      </c>
      <c r="J2" t="str">
        <f t="shared" ref="J2:J9" si="4">IF(E2=MAX($E$2:$E$100),A2,"")</f>
        <v>Fabian</v>
      </c>
      <c r="K2" t="str">
        <f t="shared" ref="K2:K9" si="5">IF(D2=MAX($D$2:$D$100),A2,"")</f>
        <v>Fabian</v>
      </c>
      <c r="L2" t="str">
        <f t="shared" ref="L2:L9" si="6">IF(G2=MAX($G$2:$G$100),A2,"")</f>
        <v>Fabian</v>
      </c>
    </row>
    <row r="3" spans="1:12" ht="15" customHeight="1" x14ac:dyDescent="0.2">
      <c r="A3" s="13" t="s">
        <v>23</v>
      </c>
      <c r="B3" s="30">
        <f>COUNTIFS(Goals!$C:$C,$A3,Goals!$E:$E,"No")</f>
        <v>3</v>
      </c>
      <c r="C3" s="30">
        <f>COUNTIFS(Goals!$D:$D,$A3)</f>
        <v>1</v>
      </c>
      <c r="D3" s="30">
        <f>COUNTIF(Matches!$I:$I,$A3)</f>
        <v>0</v>
      </c>
      <c r="E3" s="30">
        <f t="shared" si="0"/>
        <v>4</v>
      </c>
      <c r="F3" s="32">
        <f t="shared" si="1"/>
        <v>0.75</v>
      </c>
      <c r="G3" s="30">
        <f>IFERROR(VLOOKUP(A3,Appearances!A:F,6,FALSE()),0)</f>
        <v>4</v>
      </c>
      <c r="H3" t="str">
        <f t="shared" si="2"/>
        <v/>
      </c>
      <c r="I3" t="str">
        <f t="shared" si="3"/>
        <v/>
      </c>
      <c r="J3" t="str">
        <f t="shared" si="4"/>
        <v/>
      </c>
      <c r="K3" t="str">
        <f t="shared" si="5"/>
        <v/>
      </c>
      <c r="L3" t="str">
        <f t="shared" si="6"/>
        <v>Lake</v>
      </c>
    </row>
    <row r="4" spans="1:12" ht="15" customHeight="1" x14ac:dyDescent="0.2">
      <c r="A4" s="13" t="s">
        <v>24</v>
      </c>
      <c r="B4" s="30">
        <f>COUNTIFS(Goals!$C:$C,$A4,Goals!$E:$E,"No")</f>
        <v>3</v>
      </c>
      <c r="C4" s="30">
        <f>COUNTIFS(Goals!$D:$D,$A4)</f>
        <v>0</v>
      </c>
      <c r="D4" s="30">
        <f>COUNTIF(Matches!$I:$I,$A4)</f>
        <v>0</v>
      </c>
      <c r="E4" s="30">
        <f t="shared" si="0"/>
        <v>3</v>
      </c>
      <c r="F4" s="32">
        <f t="shared" si="1"/>
        <v>0.75</v>
      </c>
      <c r="G4" s="30">
        <f>IFERROR(VLOOKUP(A4,Appearances!A:F,6,FALSE()),0)</f>
        <v>4</v>
      </c>
      <c r="H4" t="str">
        <f t="shared" si="2"/>
        <v/>
      </c>
      <c r="I4" t="str">
        <f t="shared" si="3"/>
        <v/>
      </c>
      <c r="J4" t="str">
        <f t="shared" si="4"/>
        <v/>
      </c>
      <c r="K4" t="str">
        <f t="shared" si="5"/>
        <v/>
      </c>
      <c r="L4" t="str">
        <f t="shared" si="6"/>
        <v>Darius</v>
      </c>
    </row>
    <row r="5" spans="1:12" ht="15" customHeight="1" x14ac:dyDescent="0.2">
      <c r="A5" s="13" t="s">
        <v>25</v>
      </c>
      <c r="B5" s="30">
        <f>COUNTIFS(Goals!$C:$C,$A5,Goals!$E:$E,"No")</f>
        <v>4</v>
      </c>
      <c r="C5" s="30">
        <f>COUNTIFS(Goals!$D:$D,$A5)</f>
        <v>0</v>
      </c>
      <c r="D5" s="30">
        <f>COUNTIF(Matches!$I:$I,$A5)</f>
        <v>0</v>
      </c>
      <c r="E5" s="30">
        <f t="shared" si="0"/>
        <v>4</v>
      </c>
      <c r="F5" s="32">
        <f t="shared" si="1"/>
        <v>2</v>
      </c>
      <c r="G5" s="30">
        <f>IFERROR(VLOOKUP(A5,Appearances!A:F,6,FALSE()),0)</f>
        <v>2</v>
      </c>
      <c r="H5" t="str">
        <f t="shared" si="2"/>
        <v/>
      </c>
      <c r="I5" t="str">
        <f t="shared" si="3"/>
        <v/>
      </c>
      <c r="J5" t="str">
        <f t="shared" si="4"/>
        <v/>
      </c>
      <c r="K5" t="str">
        <f t="shared" si="5"/>
        <v/>
      </c>
      <c r="L5" t="str">
        <f t="shared" si="6"/>
        <v/>
      </c>
    </row>
    <row r="6" spans="1:12" ht="15" customHeight="1" x14ac:dyDescent="0.2">
      <c r="A6" s="13" t="s">
        <v>26</v>
      </c>
      <c r="B6" s="30">
        <f>COUNTIFS(Goals!$C:$C,$A6,Goals!$E:$E,"No")</f>
        <v>2</v>
      </c>
      <c r="C6" s="30">
        <f>COUNTIFS(Goals!$D:$D,$A6)</f>
        <v>0</v>
      </c>
      <c r="D6" s="30">
        <f>COUNTIF(Matches!$I:$I,$A6)</f>
        <v>1</v>
      </c>
      <c r="E6" s="30">
        <f t="shared" si="0"/>
        <v>2</v>
      </c>
      <c r="F6" s="32">
        <f t="shared" si="1"/>
        <v>0.5</v>
      </c>
      <c r="G6" s="30">
        <f>IFERROR(VLOOKUP(A6,Appearances!A:F,6,FALSE()),0)</f>
        <v>4</v>
      </c>
      <c r="H6" t="str">
        <f t="shared" si="2"/>
        <v/>
      </c>
      <c r="I6" t="str">
        <f t="shared" si="3"/>
        <v/>
      </c>
      <c r="J6" t="str">
        <f t="shared" si="4"/>
        <v/>
      </c>
      <c r="K6" t="str">
        <f t="shared" si="5"/>
        <v>Reuben</v>
      </c>
      <c r="L6" t="str">
        <f t="shared" si="6"/>
        <v>Reuben</v>
      </c>
    </row>
    <row r="7" spans="1:12" ht="15" customHeight="1" x14ac:dyDescent="0.2">
      <c r="A7" s="13" t="s">
        <v>27</v>
      </c>
      <c r="B7" s="30">
        <f>COUNTIFS(Goals!$C:$C,$A7,Goals!$E:$E,"No")</f>
        <v>3</v>
      </c>
      <c r="C7" s="30">
        <f>COUNTIFS(Goals!$D:$D,$A7)</f>
        <v>0</v>
      </c>
      <c r="D7" s="30">
        <f>COUNTIF(Matches!$I:$I,$A7)</f>
        <v>1</v>
      </c>
      <c r="E7" s="30">
        <f t="shared" si="0"/>
        <v>3</v>
      </c>
      <c r="F7" s="32">
        <f t="shared" si="1"/>
        <v>0.75</v>
      </c>
      <c r="G7" s="30">
        <f>IFERROR(VLOOKUP(A7,Appearances!A:F,6,FALSE()),0)</f>
        <v>4</v>
      </c>
      <c r="H7" t="str">
        <f t="shared" si="2"/>
        <v/>
      </c>
      <c r="I7" t="str">
        <f t="shared" si="3"/>
        <v/>
      </c>
      <c r="J7" t="str">
        <f t="shared" si="4"/>
        <v/>
      </c>
      <c r="K7" t="str">
        <f t="shared" si="5"/>
        <v>Kian</v>
      </c>
      <c r="L7" t="str">
        <f t="shared" si="6"/>
        <v>Kian</v>
      </c>
    </row>
    <row r="8" spans="1:12" ht="15" customHeight="1" x14ac:dyDescent="0.2">
      <c r="A8" s="13" t="s">
        <v>28</v>
      </c>
      <c r="B8" s="30">
        <f>COUNTIFS(Goals!$C:$C,$A8,Goals!$E:$E,"No")</f>
        <v>0</v>
      </c>
      <c r="C8" s="30">
        <f>COUNTIFS(Goals!$D:$D,$A8)</f>
        <v>2</v>
      </c>
      <c r="D8" s="30">
        <f>COUNTIF(Matches!$I:$I,$A8)</f>
        <v>1</v>
      </c>
      <c r="E8" s="30">
        <f t="shared" si="0"/>
        <v>2</v>
      </c>
      <c r="F8" s="32">
        <f t="shared" si="1"/>
        <v>0</v>
      </c>
      <c r="G8" s="30">
        <f>IFERROR(VLOOKUP(A8,Appearances!A:F,6,FALSE()),0)</f>
        <v>3</v>
      </c>
      <c r="H8" t="str">
        <f t="shared" si="2"/>
        <v/>
      </c>
      <c r="I8" t="str">
        <f t="shared" si="3"/>
        <v>Aydan</v>
      </c>
      <c r="J8" t="str">
        <f t="shared" si="4"/>
        <v/>
      </c>
      <c r="K8" t="str">
        <f t="shared" si="5"/>
        <v>Aydan</v>
      </c>
      <c r="L8" t="str">
        <f t="shared" si="6"/>
        <v/>
      </c>
    </row>
    <row r="9" spans="1:12" ht="15" customHeight="1" x14ac:dyDescent="0.2">
      <c r="A9" s="13" t="s">
        <v>29</v>
      </c>
      <c r="B9" s="30">
        <f>COUNTIFS(Goals!$C:$C,$A9,Goals!$E:$E,"No")</f>
        <v>0</v>
      </c>
      <c r="C9" s="30">
        <f>COUNTIFS(Goals!$D:$D,$A9)</f>
        <v>0</v>
      </c>
      <c r="D9" s="30">
        <f>COUNTIF(Matches!$I:$I,$A9)</f>
        <v>0</v>
      </c>
      <c r="E9" s="30">
        <f t="shared" si="0"/>
        <v>0</v>
      </c>
      <c r="F9" s="32">
        <f t="shared" si="1"/>
        <v>0</v>
      </c>
      <c r="G9" s="30">
        <f>IFERROR(VLOOKUP(A9,Appearances!A:F,6,FALSE()),0)</f>
        <v>2</v>
      </c>
      <c r="H9" t="str">
        <f t="shared" si="2"/>
        <v/>
      </c>
      <c r="I9" t="str">
        <f t="shared" si="3"/>
        <v/>
      </c>
      <c r="J9" t="str">
        <f t="shared" si="4"/>
        <v/>
      </c>
      <c r="K9" t="str">
        <f t="shared" si="5"/>
        <v/>
      </c>
      <c r="L9" t="str">
        <f t="shared" si="6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Normal="100" workbookViewId="0"/>
  </sheetViews>
  <sheetFormatPr baseColWidth="10" defaultColWidth="8.6640625" defaultRowHeight="15" customHeight="1" x14ac:dyDescent="0.2"/>
  <cols>
    <col min="1" max="1" width="18" customWidth="1"/>
    <col min="2" max="6" width="12" customWidth="1"/>
  </cols>
  <sheetData>
    <row r="1" spans="1:6" ht="15" customHeight="1" x14ac:dyDescent="0.2">
      <c r="A1" s="33" t="s">
        <v>72</v>
      </c>
      <c r="B1" s="34" t="s">
        <v>59</v>
      </c>
      <c r="C1" s="34" t="s">
        <v>63</v>
      </c>
      <c r="D1" s="34" t="s">
        <v>66</v>
      </c>
      <c r="E1" s="34" t="s">
        <v>68</v>
      </c>
      <c r="F1" s="34" t="s">
        <v>82</v>
      </c>
    </row>
    <row r="2" spans="1:6" ht="15" customHeight="1" x14ac:dyDescent="0.2">
      <c r="A2" s="13" t="s">
        <v>22</v>
      </c>
      <c r="B2" s="35">
        <v>1</v>
      </c>
      <c r="C2" s="35">
        <v>1</v>
      </c>
      <c r="D2" s="35">
        <v>1</v>
      </c>
      <c r="E2" s="35">
        <v>1</v>
      </c>
      <c r="F2" s="36">
        <f t="shared" ref="F2:F9" si="0">SUM(B2:E2)</f>
        <v>4</v>
      </c>
    </row>
    <row r="3" spans="1:6" ht="15" customHeight="1" x14ac:dyDescent="0.2">
      <c r="A3" s="13" t="s">
        <v>23</v>
      </c>
      <c r="B3" s="35">
        <v>1</v>
      </c>
      <c r="C3" s="35">
        <v>1</v>
      </c>
      <c r="D3" s="35">
        <v>1</v>
      </c>
      <c r="E3" s="35">
        <v>1</v>
      </c>
      <c r="F3" s="36">
        <f t="shared" si="0"/>
        <v>4</v>
      </c>
    </row>
    <row r="4" spans="1:6" ht="15" customHeight="1" x14ac:dyDescent="0.2">
      <c r="A4" s="13" t="s">
        <v>24</v>
      </c>
      <c r="B4" s="35">
        <v>1</v>
      </c>
      <c r="C4" s="35">
        <v>1</v>
      </c>
      <c r="D4" s="35">
        <v>1</v>
      </c>
      <c r="E4" s="35">
        <v>1</v>
      </c>
      <c r="F4" s="36">
        <f t="shared" si="0"/>
        <v>4</v>
      </c>
    </row>
    <row r="5" spans="1:6" ht="15" customHeight="1" x14ac:dyDescent="0.2">
      <c r="A5" s="13" t="s">
        <v>25</v>
      </c>
      <c r="B5" s="35">
        <v>1</v>
      </c>
      <c r="C5" s="35">
        <v>0</v>
      </c>
      <c r="D5" s="35">
        <v>1</v>
      </c>
      <c r="E5" s="35">
        <v>0</v>
      </c>
      <c r="F5" s="36">
        <f t="shared" si="0"/>
        <v>2</v>
      </c>
    </row>
    <row r="6" spans="1:6" ht="15" customHeight="1" x14ac:dyDescent="0.2">
      <c r="A6" s="13" t="s">
        <v>26</v>
      </c>
      <c r="B6" s="35">
        <v>1</v>
      </c>
      <c r="C6" s="35">
        <v>1</v>
      </c>
      <c r="D6" s="35">
        <v>1</v>
      </c>
      <c r="E6" s="35">
        <v>1</v>
      </c>
      <c r="F6" s="36">
        <f t="shared" si="0"/>
        <v>4</v>
      </c>
    </row>
    <row r="7" spans="1:6" ht="15" customHeight="1" x14ac:dyDescent="0.2">
      <c r="A7" s="13" t="s">
        <v>27</v>
      </c>
      <c r="B7" s="35">
        <v>1</v>
      </c>
      <c r="C7" s="35">
        <v>1</v>
      </c>
      <c r="D7" s="35">
        <v>1</v>
      </c>
      <c r="E7" s="35">
        <v>1</v>
      </c>
      <c r="F7" s="36">
        <f t="shared" si="0"/>
        <v>4</v>
      </c>
    </row>
    <row r="8" spans="1:6" ht="15" customHeight="1" x14ac:dyDescent="0.2">
      <c r="A8" s="13" t="s">
        <v>28</v>
      </c>
      <c r="B8" s="35">
        <v>0</v>
      </c>
      <c r="C8" s="35">
        <v>1</v>
      </c>
      <c r="D8" s="35">
        <v>1</v>
      </c>
      <c r="E8" s="35">
        <v>1</v>
      </c>
      <c r="F8" s="36">
        <f t="shared" si="0"/>
        <v>3</v>
      </c>
    </row>
    <row r="9" spans="1:6" ht="15" customHeight="1" x14ac:dyDescent="0.2">
      <c r="A9" s="13" t="s">
        <v>29</v>
      </c>
      <c r="B9" s="35">
        <v>0</v>
      </c>
      <c r="C9" s="35">
        <v>1</v>
      </c>
      <c r="D9" s="35">
        <v>1</v>
      </c>
      <c r="E9" s="35">
        <v>0</v>
      </c>
      <c r="F9" s="36">
        <f t="shared" si="0"/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Entry</vt:lpstr>
      <vt:lpstr>Dashboard</vt:lpstr>
      <vt:lpstr>Matches</vt:lpstr>
      <vt:lpstr>Goals</vt:lpstr>
      <vt:lpstr>PlayerStats</vt:lpstr>
      <vt:lpstr>Appearances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Culnane</cp:lastModifiedBy>
  <cp:revision>20</cp:revision>
  <dcterms:created xsi:type="dcterms:W3CDTF">2026-02-09T12:24:04Z</dcterms:created>
  <dcterms:modified xsi:type="dcterms:W3CDTF">2026-02-09T14:05:00Z</dcterms:modified>
  <dc:language>en-US</dc:language>
</cp:coreProperties>
</file>